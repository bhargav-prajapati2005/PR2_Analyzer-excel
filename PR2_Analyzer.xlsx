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g\Downloads\"/>
    </mc:Choice>
  </mc:AlternateContent>
  <xr:revisionPtr revIDLastSave="0" documentId="13_ncr:1_{8EB4F631-7660-4EED-90AE-E6F8CA384A0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set" sheetId="1" r:id="rId1"/>
    <sheet name="Analysis" sheetId="2" r:id="rId2"/>
    <sheet name="Descriptive Stats" sheetId="3" r:id="rId3"/>
    <sheet name="Regression" sheetId="4" r:id="rId4"/>
    <sheet name="What-If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D6" i="3" l="1"/>
  <c r="C6" i="3"/>
  <c r="B6" i="3"/>
  <c r="C7" i="3"/>
  <c r="D8" i="3"/>
  <c r="C8" i="3"/>
  <c r="B8" i="3"/>
  <c r="D7" i="3"/>
  <c r="B7" i="3"/>
  <c r="B5" i="3"/>
  <c r="L8" i="6"/>
  <c r="K8" i="6"/>
  <c r="G8" i="6"/>
  <c r="F8" i="6"/>
  <c r="L7" i="6"/>
  <c r="K7" i="6"/>
  <c r="G7" i="6"/>
  <c r="F7" i="6"/>
  <c r="L6" i="6"/>
  <c r="K6" i="6"/>
  <c r="G6" i="6"/>
  <c r="F6" i="6"/>
  <c r="B6" i="6"/>
  <c r="L5" i="6"/>
  <c r="K5" i="6"/>
  <c r="G5" i="6"/>
  <c r="F5" i="6"/>
  <c r="B5" i="6"/>
  <c r="L4" i="6"/>
  <c r="K4" i="6"/>
  <c r="G4" i="6"/>
  <c r="F4" i="6"/>
  <c r="B5" i="5"/>
  <c r="B4" i="5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7" i="4"/>
  <c r="B6" i="4"/>
  <c r="B8" i="4" s="1"/>
  <c r="B5" i="4"/>
  <c r="B4" i="4"/>
  <c r="C14" i="3"/>
  <c r="B14" i="3"/>
  <c r="C13" i="3"/>
  <c r="B13" i="3"/>
  <c r="C12" i="3"/>
  <c r="B12" i="3"/>
  <c r="C11" i="3"/>
  <c r="B11" i="3"/>
  <c r="C10" i="3"/>
  <c r="B10" i="3"/>
  <c r="C9" i="3"/>
  <c r="B9" i="3"/>
  <c r="C5" i="3"/>
  <c r="C4" i="3"/>
  <c r="B4" i="3"/>
  <c r="E22" i="2"/>
  <c r="A22" i="2"/>
  <c r="E21" i="2"/>
  <c r="A21" i="2"/>
  <c r="E20" i="2"/>
  <c r="A20" i="2"/>
  <c r="E19" i="2"/>
  <c r="A19" i="2"/>
  <c r="E18" i="2"/>
  <c r="A18" i="2"/>
  <c r="E17" i="2"/>
  <c r="A17" i="2"/>
  <c r="E16" i="2"/>
  <c r="A16" i="2"/>
  <c r="E15" i="2"/>
  <c r="A15" i="2"/>
  <c r="E14" i="2"/>
  <c r="A14" i="2"/>
  <c r="E13" i="2"/>
  <c r="A13" i="2"/>
  <c r="I8" i="2"/>
  <c r="H8" i="2"/>
  <c r="D8" i="2"/>
  <c r="C8" i="2"/>
  <c r="I7" i="2"/>
  <c r="H7" i="2"/>
  <c r="D7" i="2"/>
  <c r="C7" i="2"/>
  <c r="I6" i="2"/>
  <c r="H6" i="2"/>
  <c r="D6" i="2"/>
  <c r="C6" i="2"/>
  <c r="I5" i="2"/>
  <c r="H5" i="2"/>
  <c r="D5" i="2"/>
  <c r="C5" i="2"/>
  <c r="I4" i="2"/>
  <c r="H4" i="2"/>
  <c r="D4" i="2"/>
  <c r="C4" i="2"/>
  <c r="N82" i="1"/>
  <c r="K82" i="1"/>
  <c r="J82" i="1"/>
  <c r="N81" i="1"/>
  <c r="K81" i="1"/>
  <c r="J81" i="1"/>
  <c r="O81" i="1" s="1"/>
  <c r="N80" i="1"/>
  <c r="K80" i="1"/>
  <c r="J80" i="1"/>
  <c r="O80" i="1" s="1"/>
  <c r="N79" i="1"/>
  <c r="K79" i="1"/>
  <c r="L79" i="1" s="1"/>
  <c r="J79" i="1"/>
  <c r="O79" i="1" s="1"/>
  <c r="N78" i="1"/>
  <c r="K78" i="1"/>
  <c r="J78" i="1"/>
  <c r="O78" i="1" s="1"/>
  <c r="N77" i="1"/>
  <c r="K77" i="1"/>
  <c r="J77" i="1"/>
  <c r="O77" i="1" s="1"/>
  <c r="N76" i="1"/>
  <c r="K76" i="1"/>
  <c r="J76" i="1"/>
  <c r="O76" i="1" s="1"/>
  <c r="N75" i="1"/>
  <c r="K75" i="1"/>
  <c r="J75" i="1"/>
  <c r="O75" i="1" s="1"/>
  <c r="N74" i="1"/>
  <c r="K74" i="1"/>
  <c r="J74" i="1"/>
  <c r="O74" i="1" s="1"/>
  <c r="N73" i="1"/>
  <c r="K73" i="1"/>
  <c r="J73" i="1"/>
  <c r="O73" i="1" s="1"/>
  <c r="N72" i="1"/>
  <c r="K72" i="1"/>
  <c r="J72" i="1"/>
  <c r="O72" i="1" s="1"/>
  <c r="N71" i="1"/>
  <c r="K71" i="1"/>
  <c r="J71" i="1"/>
  <c r="O71" i="1" s="1"/>
  <c r="N70" i="1"/>
  <c r="K70" i="1"/>
  <c r="J70" i="1"/>
  <c r="O70" i="1" s="1"/>
  <c r="N69" i="1"/>
  <c r="K69" i="1"/>
  <c r="J69" i="1"/>
  <c r="O69" i="1" s="1"/>
  <c r="N68" i="1"/>
  <c r="K68" i="1"/>
  <c r="J68" i="1"/>
  <c r="N67" i="1"/>
  <c r="K67" i="1"/>
  <c r="L67" i="1" s="1"/>
  <c r="J67" i="1"/>
  <c r="O67" i="1" s="1"/>
  <c r="N66" i="1"/>
  <c r="K66" i="1"/>
  <c r="J66" i="1"/>
  <c r="O66" i="1" s="1"/>
  <c r="N65" i="1"/>
  <c r="K65" i="1"/>
  <c r="J65" i="1"/>
  <c r="O65" i="1" s="1"/>
  <c r="N64" i="1"/>
  <c r="K64" i="1"/>
  <c r="J64" i="1"/>
  <c r="O64" i="1" s="1"/>
  <c r="N63" i="1"/>
  <c r="K63" i="1"/>
  <c r="J63" i="1"/>
  <c r="O63" i="1" s="1"/>
  <c r="N62" i="1"/>
  <c r="K62" i="1"/>
  <c r="J62" i="1"/>
  <c r="O62" i="1" s="1"/>
  <c r="N61" i="1"/>
  <c r="K61" i="1"/>
  <c r="J61" i="1"/>
  <c r="O61" i="1" s="1"/>
  <c r="N60" i="1"/>
  <c r="K60" i="1"/>
  <c r="J60" i="1"/>
  <c r="O60" i="1" s="1"/>
  <c r="N59" i="1"/>
  <c r="K59" i="1"/>
  <c r="J59" i="1"/>
  <c r="O59" i="1" s="1"/>
  <c r="N58" i="1"/>
  <c r="K58" i="1"/>
  <c r="J58" i="1"/>
  <c r="O58" i="1" s="1"/>
  <c r="N57" i="1"/>
  <c r="K57" i="1"/>
  <c r="J57" i="1"/>
  <c r="O57" i="1" s="1"/>
  <c r="N56" i="1"/>
  <c r="K56" i="1"/>
  <c r="J56" i="1"/>
  <c r="O56" i="1" s="1"/>
  <c r="N55" i="1"/>
  <c r="K55" i="1"/>
  <c r="J55" i="1"/>
  <c r="O55" i="1" s="1"/>
  <c r="N54" i="1"/>
  <c r="K54" i="1"/>
  <c r="J54" i="1"/>
  <c r="O54" i="1" s="1"/>
  <c r="N53" i="1"/>
  <c r="K53" i="1"/>
  <c r="J53" i="1"/>
  <c r="O53" i="1" s="1"/>
  <c r="N52" i="1"/>
  <c r="K52" i="1"/>
  <c r="J52" i="1"/>
  <c r="O52" i="1" s="1"/>
  <c r="N51" i="1"/>
  <c r="K51" i="1"/>
  <c r="L51" i="1" s="1"/>
  <c r="J51" i="1"/>
  <c r="O51" i="1" s="1"/>
  <c r="N50" i="1"/>
  <c r="K50" i="1"/>
  <c r="J50" i="1"/>
  <c r="O50" i="1" s="1"/>
  <c r="N49" i="1"/>
  <c r="K49" i="1"/>
  <c r="L49" i="1" s="1"/>
  <c r="J49" i="1"/>
  <c r="O49" i="1" s="1"/>
  <c r="N48" i="1"/>
  <c r="K48" i="1"/>
  <c r="J48" i="1"/>
  <c r="N47" i="1"/>
  <c r="L47" i="1"/>
  <c r="K47" i="1"/>
  <c r="J47" i="1"/>
  <c r="O47" i="1" s="1"/>
  <c r="N46" i="1"/>
  <c r="K46" i="1"/>
  <c r="J46" i="1"/>
  <c r="O46" i="1" s="1"/>
  <c r="N45" i="1"/>
  <c r="K45" i="1"/>
  <c r="J45" i="1"/>
  <c r="O45" i="1" s="1"/>
  <c r="N44" i="1"/>
  <c r="K44" i="1"/>
  <c r="J44" i="1"/>
  <c r="O44" i="1" s="1"/>
  <c r="N43" i="1"/>
  <c r="K43" i="1"/>
  <c r="J43" i="1"/>
  <c r="O43" i="1" s="1"/>
  <c r="N42" i="1"/>
  <c r="K42" i="1"/>
  <c r="J42" i="1"/>
  <c r="O42" i="1" s="1"/>
  <c r="N41" i="1"/>
  <c r="K41" i="1"/>
  <c r="J41" i="1"/>
  <c r="O41" i="1" s="1"/>
  <c r="N40" i="1"/>
  <c r="K40" i="1"/>
  <c r="J40" i="1"/>
  <c r="O40" i="1" s="1"/>
  <c r="N39" i="1"/>
  <c r="K39" i="1"/>
  <c r="J39" i="1"/>
  <c r="O39" i="1" s="1"/>
  <c r="N38" i="1"/>
  <c r="K38" i="1"/>
  <c r="J38" i="1"/>
  <c r="O38" i="1" s="1"/>
  <c r="N37" i="1"/>
  <c r="K37" i="1"/>
  <c r="J37" i="1"/>
  <c r="O37" i="1" s="1"/>
  <c r="N36" i="1"/>
  <c r="K36" i="1"/>
  <c r="J36" i="1"/>
  <c r="O36" i="1" s="1"/>
  <c r="N35" i="1"/>
  <c r="K35" i="1"/>
  <c r="J35" i="1"/>
  <c r="O35" i="1" s="1"/>
  <c r="N34" i="1"/>
  <c r="K34" i="1"/>
  <c r="J34" i="1"/>
  <c r="O34" i="1" s="1"/>
  <c r="N33" i="1"/>
  <c r="K33" i="1"/>
  <c r="J33" i="1"/>
  <c r="O33" i="1" s="1"/>
  <c r="N32" i="1"/>
  <c r="K32" i="1"/>
  <c r="J32" i="1"/>
  <c r="O32" i="1" s="1"/>
  <c r="N31" i="1"/>
  <c r="K31" i="1"/>
  <c r="J31" i="1"/>
  <c r="O31" i="1" s="1"/>
  <c r="N30" i="1"/>
  <c r="K30" i="1"/>
  <c r="J30" i="1"/>
  <c r="O30" i="1" s="1"/>
  <c r="N29" i="1"/>
  <c r="K29" i="1"/>
  <c r="L29" i="1" s="1"/>
  <c r="J29" i="1"/>
  <c r="O29" i="1" s="1"/>
  <c r="N28" i="1"/>
  <c r="K28" i="1"/>
  <c r="J28" i="1"/>
  <c r="O28" i="1" s="1"/>
  <c r="N27" i="1"/>
  <c r="K27" i="1"/>
  <c r="L27" i="1" s="1"/>
  <c r="J27" i="1"/>
  <c r="O27" i="1" s="1"/>
  <c r="N26" i="1"/>
  <c r="K26" i="1"/>
  <c r="J26" i="1"/>
  <c r="O26" i="1" s="1"/>
  <c r="N25" i="1"/>
  <c r="K25" i="1"/>
  <c r="L25" i="1" s="1"/>
  <c r="J25" i="1"/>
  <c r="N24" i="1"/>
  <c r="K24" i="1"/>
  <c r="J24" i="1"/>
  <c r="O24" i="1" s="1"/>
  <c r="N23" i="1"/>
  <c r="K23" i="1"/>
  <c r="J23" i="1"/>
  <c r="O23" i="1" s="1"/>
  <c r="N22" i="1"/>
  <c r="K22" i="1"/>
  <c r="J22" i="1"/>
  <c r="O22" i="1" s="1"/>
  <c r="N21" i="1"/>
  <c r="K21" i="1"/>
  <c r="J21" i="1"/>
  <c r="O21" i="1" s="1"/>
  <c r="N20" i="1"/>
  <c r="K20" i="1"/>
  <c r="J20" i="1"/>
  <c r="O20" i="1" s="1"/>
  <c r="N19" i="1"/>
  <c r="K19" i="1"/>
  <c r="J19" i="1"/>
  <c r="O19" i="1" s="1"/>
  <c r="N18" i="1"/>
  <c r="K18" i="1"/>
  <c r="J18" i="1"/>
  <c r="O18" i="1" s="1"/>
  <c r="N17" i="1"/>
  <c r="K17" i="1"/>
  <c r="J17" i="1"/>
  <c r="O17" i="1" s="1"/>
  <c r="N16" i="1"/>
  <c r="K16" i="1"/>
  <c r="J16" i="1"/>
  <c r="O16" i="1" s="1"/>
  <c r="N15" i="1"/>
  <c r="K15" i="1"/>
  <c r="J15" i="1"/>
  <c r="O15" i="1" s="1"/>
  <c r="N14" i="1"/>
  <c r="K14" i="1"/>
  <c r="J14" i="1"/>
  <c r="O14" i="1" s="1"/>
  <c r="N13" i="1"/>
  <c r="K13" i="1"/>
  <c r="J13" i="1"/>
  <c r="O13" i="1" s="1"/>
  <c r="N12" i="1"/>
  <c r="K12" i="1"/>
  <c r="J12" i="1"/>
  <c r="N11" i="1"/>
  <c r="K11" i="1"/>
  <c r="J11" i="1"/>
  <c r="O11" i="1" s="1"/>
  <c r="N10" i="1"/>
  <c r="K10" i="1"/>
  <c r="J10" i="1"/>
  <c r="B6" i="2" s="1"/>
  <c r="N9" i="1"/>
  <c r="K9" i="1"/>
  <c r="J9" i="1"/>
  <c r="O9" i="1" s="1"/>
  <c r="N8" i="1"/>
  <c r="K8" i="1"/>
  <c r="J8" i="1"/>
  <c r="N7" i="1"/>
  <c r="K7" i="1"/>
  <c r="J7" i="1"/>
  <c r="O7" i="1" s="1"/>
  <c r="N6" i="1"/>
  <c r="K6" i="1"/>
  <c r="J6" i="1"/>
  <c r="E7" i="6" s="1"/>
  <c r="N5" i="1"/>
  <c r="K5" i="1"/>
  <c r="L5" i="1" s="1"/>
  <c r="J5" i="1"/>
  <c r="B5" i="2" s="1"/>
  <c r="N4" i="1"/>
  <c r="K4" i="1"/>
  <c r="J4" i="1"/>
  <c r="N3" i="1"/>
  <c r="K3" i="1"/>
  <c r="L3" i="1" s="1"/>
  <c r="J3" i="1"/>
  <c r="D12" i="3" s="1"/>
  <c r="L23" i="1" l="1"/>
  <c r="L71" i="1"/>
  <c r="C14" i="2"/>
  <c r="C18" i="2"/>
  <c r="C22" i="2"/>
  <c r="O3" i="1"/>
  <c r="L44" i="1"/>
  <c r="L81" i="1"/>
  <c r="J8" i="6"/>
  <c r="E4" i="6"/>
  <c r="L64" i="1"/>
  <c r="L65" i="1"/>
  <c r="M65" i="1" s="1"/>
  <c r="O82" i="1"/>
  <c r="O10" i="1"/>
  <c r="O6" i="1"/>
  <c r="L41" i="1"/>
  <c r="D13" i="2"/>
  <c r="B15" i="2"/>
  <c r="D17" i="2"/>
  <c r="B19" i="2"/>
  <c r="D21" i="2"/>
  <c r="O25" i="1"/>
  <c r="O5" i="1"/>
  <c r="E9" i="5"/>
  <c r="G7" i="2"/>
  <c r="O68" i="1"/>
  <c r="O48" i="1"/>
  <c r="O12" i="1"/>
  <c r="O8" i="1"/>
  <c r="O4" i="1"/>
  <c r="B8" i="5"/>
  <c r="G4" i="2"/>
  <c r="G6" i="2"/>
  <c r="G8" i="2"/>
  <c r="B13" i="2"/>
  <c r="B8" i="6" s="1"/>
  <c r="D15" i="2"/>
  <c r="C16" i="2"/>
  <c r="B17" i="2"/>
  <c r="D19" i="2"/>
  <c r="C20" i="2"/>
  <c r="B21" i="2"/>
  <c r="D11" i="3"/>
  <c r="E4" i="5"/>
  <c r="E7" i="5"/>
  <c r="E10" i="5"/>
  <c r="J5" i="6"/>
  <c r="E6" i="6"/>
  <c r="L11" i="1"/>
  <c r="L15" i="1"/>
  <c r="L33" i="1"/>
  <c r="L37" i="1"/>
  <c r="L45" i="1"/>
  <c r="M45" i="1" s="1"/>
  <c r="L4" i="1"/>
  <c r="M4" i="1" s="1"/>
  <c r="L8" i="1"/>
  <c r="L12" i="1"/>
  <c r="M12" i="1" s="1"/>
  <c r="L16" i="1"/>
  <c r="M16" i="1" s="1"/>
  <c r="L18" i="1"/>
  <c r="L20" i="1"/>
  <c r="L22" i="1"/>
  <c r="L24" i="1"/>
  <c r="M24" i="1" s="1"/>
  <c r="L30" i="1"/>
  <c r="M30" i="1" s="1"/>
  <c r="L32" i="1"/>
  <c r="L38" i="1"/>
  <c r="M38" i="1" s="1"/>
  <c r="L40" i="1"/>
  <c r="L46" i="1"/>
  <c r="M47" i="1" s="1"/>
  <c r="L48" i="1"/>
  <c r="M48" i="1" s="1"/>
  <c r="L52" i="1"/>
  <c r="M52" i="1" s="1"/>
  <c r="L56" i="1"/>
  <c r="L60" i="1"/>
  <c r="L66" i="1"/>
  <c r="M66" i="1" s="1"/>
  <c r="L68" i="1"/>
  <c r="M68" i="1" s="1"/>
  <c r="L74" i="1"/>
  <c r="L78" i="1"/>
  <c r="M79" i="1" s="1"/>
  <c r="L82" i="1"/>
  <c r="M82" i="1" s="1"/>
  <c r="B4" i="2"/>
  <c r="B8" i="2"/>
  <c r="C13" i="2"/>
  <c r="B14" i="2"/>
  <c r="D16" i="2"/>
  <c r="C17" i="2"/>
  <c r="B18" i="2"/>
  <c r="D20" i="2"/>
  <c r="C21" i="2"/>
  <c r="B22" i="2"/>
  <c r="D10" i="3"/>
  <c r="D14" i="3"/>
  <c r="B4" i="6"/>
  <c r="J4" i="6"/>
  <c r="E5" i="6"/>
  <c r="L9" i="1"/>
  <c r="M9" i="1" s="1"/>
  <c r="L13" i="1"/>
  <c r="M13" i="1" s="1"/>
  <c r="L31" i="1"/>
  <c r="M31" i="1" s="1"/>
  <c r="L39" i="1"/>
  <c r="L43" i="1"/>
  <c r="L6" i="1"/>
  <c r="M6" i="1" s="1"/>
  <c r="L10" i="1"/>
  <c r="M10" i="1" s="1"/>
  <c r="L14" i="1"/>
  <c r="L26" i="1"/>
  <c r="M26" i="1" s="1"/>
  <c r="L28" i="1"/>
  <c r="M28" i="1" s="1"/>
  <c r="L34" i="1"/>
  <c r="M34" i="1" s="1"/>
  <c r="L36" i="1"/>
  <c r="L42" i="1"/>
  <c r="M42" i="1" s="1"/>
  <c r="L50" i="1"/>
  <c r="M50" i="1" s="1"/>
  <c r="L54" i="1"/>
  <c r="L58" i="1"/>
  <c r="L62" i="1"/>
  <c r="L70" i="1"/>
  <c r="L72" i="1"/>
  <c r="M72" i="1" s="1"/>
  <c r="L76" i="1"/>
  <c r="L80" i="1"/>
  <c r="M80" i="1" s="1"/>
  <c r="G5" i="2"/>
  <c r="D5" i="3"/>
  <c r="D9" i="3"/>
  <c r="D13" i="3"/>
  <c r="E5" i="5"/>
  <c r="E8" i="5"/>
  <c r="J7" i="6"/>
  <c r="E8" i="6"/>
  <c r="L7" i="1"/>
  <c r="M7" i="1" s="1"/>
  <c r="L17" i="1"/>
  <c r="L19" i="1"/>
  <c r="M19" i="1" s="1"/>
  <c r="L21" i="1"/>
  <c r="M21" i="1" s="1"/>
  <c r="L35" i="1"/>
  <c r="M35" i="1" s="1"/>
  <c r="L53" i="1"/>
  <c r="L55" i="1"/>
  <c r="L57" i="1"/>
  <c r="M57" i="1" s="1"/>
  <c r="L59" i="1"/>
  <c r="M59" i="1" s="1"/>
  <c r="L61" i="1"/>
  <c r="M61" i="1" s="1"/>
  <c r="L63" i="1"/>
  <c r="M63" i="1" s="1"/>
  <c r="L69" i="1"/>
  <c r="M69" i="1" s="1"/>
  <c r="L73" i="1"/>
  <c r="M73" i="1" s="1"/>
  <c r="L75" i="1"/>
  <c r="L77" i="1"/>
  <c r="M77" i="1" s="1"/>
  <c r="B7" i="2"/>
  <c r="D14" i="2"/>
  <c r="C15" i="2"/>
  <c r="B16" i="2"/>
  <c r="D18" i="2"/>
  <c r="C19" i="2"/>
  <c r="B20" i="2"/>
  <c r="D22" i="2"/>
  <c r="D4" i="3"/>
  <c r="E6" i="5"/>
  <c r="J6" i="6"/>
  <c r="M54" i="1" l="1"/>
  <c r="M56" i="1"/>
  <c r="M40" i="1"/>
  <c r="M37" i="1"/>
  <c r="M67" i="1"/>
  <c r="B7" i="6"/>
  <c r="M22" i="1"/>
  <c r="M55" i="1"/>
  <c r="M62" i="1"/>
  <c r="M43" i="1"/>
  <c r="M32" i="1"/>
  <c r="M20" i="1"/>
  <c r="M8" i="1"/>
  <c r="M33" i="1"/>
  <c r="M51" i="1"/>
  <c r="M81" i="1"/>
  <c r="M70" i="1"/>
  <c r="M71" i="1"/>
  <c r="M23" i="1"/>
  <c r="M75" i="1"/>
  <c r="M53" i="1"/>
  <c r="M17" i="1"/>
  <c r="M76" i="1"/>
  <c r="M58" i="1"/>
  <c r="M36" i="1"/>
  <c r="M14" i="1"/>
  <c r="M39" i="1"/>
  <c r="M78" i="1"/>
  <c r="M60" i="1"/>
  <c r="M46" i="1"/>
  <c r="M18" i="1"/>
  <c r="M15" i="1"/>
  <c r="M29" i="1"/>
  <c r="M64" i="1"/>
  <c r="M49" i="1"/>
  <c r="M41" i="1"/>
  <c r="M74" i="1"/>
  <c r="M11" i="1"/>
  <c r="M44" i="1"/>
  <c r="M27" i="1"/>
  <c r="M25" i="1"/>
  <c r="M5" i="1"/>
</calcChain>
</file>

<file path=xl/sharedStrings.xml><?xml version="1.0" encoding="utf-8"?>
<sst xmlns="http://schemas.openxmlformats.org/spreadsheetml/2006/main" count="422" uniqueCount="103">
  <si>
    <t>PR. 2 Analyzer - Sales Dataset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</si>
  <si>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</si>
  <si>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</si>
  <si>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</si>
  <si>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</si>
  <si>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</si>
  <si>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</si>
  <si>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</si>
  <si>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</si>
  <si>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</si>
  <si>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Total_Purchase</t>
  </si>
  <si>
    <t>Month</t>
  </si>
  <si>
    <t>Monthly_Sales</t>
  </si>
  <si>
    <t>Growth_Icon</t>
  </si>
  <si>
    <t>Timestamp</t>
  </si>
  <si>
    <t>Customer_Rank</t>
  </si>
  <si>
    <t>CUST014</t>
  </si>
  <si>
    <t>Emma Davis</t>
  </si>
  <si>
    <t>West</t>
  </si>
  <si>
    <t>Books</t>
  </si>
  <si>
    <t>CUST001</t>
  </si>
  <si>
    <t>Linda Wilson</t>
  </si>
  <si>
    <t>Furniture</t>
  </si>
  <si>
    <t>CUST026</t>
  </si>
  <si>
    <t>Mary Davis</t>
  </si>
  <si>
    <t>East</t>
  </si>
  <si>
    <t>Clothing</t>
  </si>
  <si>
    <t>CUST008</t>
  </si>
  <si>
    <t>John Brown</t>
  </si>
  <si>
    <t>South</t>
  </si>
  <si>
    <t>Electronics</t>
  </si>
  <si>
    <t>CUST017</t>
  </si>
  <si>
    <t>James Taylor</t>
  </si>
  <si>
    <t>CUST012</t>
  </si>
  <si>
    <t>Robert Anderson</t>
  </si>
  <si>
    <t>Office Supplies</t>
  </si>
  <si>
    <t>CUST030</t>
  </si>
  <si>
    <t>James Wilson</t>
  </si>
  <si>
    <t>North</t>
  </si>
  <si>
    <t>CUST021</t>
  </si>
  <si>
    <t>Sarah Anderson</t>
  </si>
  <si>
    <t>CUST022</t>
  </si>
  <si>
    <t>David Brown</t>
  </si>
  <si>
    <t>Central</t>
  </si>
  <si>
    <t>CUST009</t>
  </si>
  <si>
    <t>Linda Jackson</t>
  </si>
  <si>
    <t>CUST006</t>
  </si>
  <si>
    <t>Mary Jackson</t>
  </si>
  <si>
    <t>CUST010</t>
  </si>
  <si>
    <t>David Thomas</t>
  </si>
  <si>
    <t>CUST015</t>
  </si>
  <si>
    <t>CUST005</t>
  </si>
  <si>
    <t>CUST029</t>
  </si>
  <si>
    <t>David Smith</t>
  </si>
  <si>
    <t>CUST028</t>
  </si>
  <si>
    <t>Linda Taylor</t>
  </si>
  <si>
    <t>Lisa Thomas</t>
  </si>
  <si>
    <t>CUST023</t>
  </si>
  <si>
    <t>CUST019</t>
  </si>
  <si>
    <t>James Davis</t>
  </si>
  <si>
    <t>Analysis: Pivot Style Summaries + High Value Customers</t>
  </si>
  <si>
    <t>Total Sales</t>
  </si>
  <si>
    <t>Total Profit</t>
  </si>
  <si>
    <t>Orders</t>
  </si>
  <si>
    <t>Product Category</t>
  </si>
  <si>
    <t>Rank</t>
  </si>
  <si>
    <t>Customer Name</t>
  </si>
  <si>
    <t>Customer ID</t>
  </si>
  <si>
    <t>Total Purchase</t>
  </si>
  <si>
    <t>Formula Used</t>
  </si>
  <si>
    <t>Data Analysis ToolPak Style - Descriptive Statistics</t>
  </si>
  <si>
    <t>Metric</t>
  </si>
  <si>
    <t>Mean</t>
  </si>
  <si>
    <t>Median</t>
  </si>
  <si>
    <t>Mode</t>
  </si>
  <si>
    <t>Std Dev</t>
  </si>
  <si>
    <t>Variance</t>
  </si>
  <si>
    <t>Minimum</t>
  </si>
  <si>
    <t>Maximum</t>
  </si>
  <si>
    <t>Range</t>
  </si>
  <si>
    <t>Count</t>
  </si>
  <si>
    <t>Skewness</t>
  </si>
  <si>
    <t>Kurtosis</t>
  </si>
  <si>
    <t>Linear Regression: Profit vs Sales</t>
  </si>
  <si>
    <t>Regression Metric</t>
  </si>
  <si>
    <t>Value</t>
  </si>
  <si>
    <t>R Square</t>
  </si>
  <si>
    <t>Correlation</t>
  </si>
  <si>
    <t>Slope</t>
  </si>
  <si>
    <t>Intercept</t>
  </si>
  <si>
    <t>Regression Equation</t>
  </si>
  <si>
    <t>WHAT-IF Analysis: Impact of Discount on Profit</t>
  </si>
  <si>
    <t>Input / Output</t>
  </si>
  <si>
    <t>Discount %</t>
  </si>
  <si>
    <t>Estimated Profit</t>
  </si>
  <si>
    <t>Base Sales</t>
  </si>
  <si>
    <t>Base Quantity</t>
  </si>
  <si>
    <t>Cost Ratio</t>
  </si>
  <si>
    <t>PR. 2 Analyzer Dashboard</t>
  </si>
  <si>
    <t>KPI</t>
  </si>
  <si>
    <t>Total Orders</t>
  </si>
  <si>
    <t>Best Region</t>
  </si>
  <si>
    <t>Top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</si>
</sst>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yyyy\-mm\-dd"/>
    <numFmt numFmtId="166" formatCode="yyyy\-mm\-dd\ hh:mm"/>
  </numFmts>
  <fonts count="4">
    <font>
      <sz val="11"/>
      <name val="Carlito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3">
    <dxf>
      <font>
        <b/>
        <color rgb="FFC00000"/>
      </font>
    </dxf>
    <dxf>
      <font>
        <b/>
        <color rgb="FF008000"/>
      </font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Region-wise Sales and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Analysis!$A$4:$A$8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Analysis!$B$4:$B$8</c:f>
              <c:numCache>
                <c:formatCode>\₹#,##0.00</c:formatCode>
                <c:ptCount val="5"/>
                <c:pt idx="0">
                  <c:v>176891.51700000002</c:v>
                </c:pt>
                <c:pt idx="1">
                  <c:v>102383.1385</c:v>
                </c:pt>
                <c:pt idx="2">
                  <c:v>33770.738500000007</c:v>
                </c:pt>
                <c:pt idx="3">
                  <c:v>187240.56399999998</c:v>
                </c:pt>
                <c:pt idx="4">
                  <c:v>207112.10449999999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3-4555-A605-2001E8045955}"/>
            </c:ext>
          </c:extLst>
        </c:ser>
        <c:ser>
          <c:idx val="1"/>
          <c:order val="1"/>
          <c:tx>
            <c:v>Total Profit</c:v>
          </c:tx>
          <c:invertIfNegative val="1"/>
          <c:cat>
            <c:strRef>
              <c:f>Analysis!$A$4:$A$8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Analysis!$C$4:$C$8</c:f>
              <c:numCache>
                <c:formatCode>\₹#,##0.00</c:formatCode>
                <c:ptCount val="5"/>
                <c:pt idx="0">
                  <c:v>9575.4100000000017</c:v>
                </c:pt>
                <c:pt idx="1">
                  <c:v>5697.14</c:v>
                </c:pt>
                <c:pt idx="2">
                  <c:v>2254.7599999999998</c:v>
                </c:pt>
                <c:pt idx="3">
                  <c:v>10569.02</c:v>
                </c:pt>
                <c:pt idx="4">
                  <c:v>13207.25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3-4555-A605-2001E8045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Share by Product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Total Sales</c:v>
          </c:tx>
          <c:cat>
            <c:strRef>
              <c:f>Analysis!$F$4:$F$8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Analysis!$G$4:$G$8</c:f>
              <c:numCache>
                <c:formatCode>\₹#,##0.00</c:formatCode>
                <c:ptCount val="5"/>
                <c:pt idx="0">
                  <c:v>192139.65749999997</c:v>
                </c:pt>
                <c:pt idx="1">
                  <c:v>64435.534500000009</c:v>
                </c:pt>
                <c:pt idx="2">
                  <c:v>115896.41200000001</c:v>
                </c:pt>
                <c:pt idx="3">
                  <c:v>140645.95549999998</c:v>
                </c:pt>
                <c:pt idx="4">
                  <c:v>194280.503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E-4A44-B8E7-28680C342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Profit vs Sales Regression Scatter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Profit</c:v>
          </c:tx>
          <c:xVal>
            <c:numLit>
              <c:ptCount val="0"/>
            </c:numLit>
          </c:xVal>
          <c:yVal>
            <c:numRef>
              <c:f>Regression!$B$12:$B$81</c:f>
              <c:numCache>
                <c:formatCode>General</c:formatCode>
                <c:ptCount val="70"/>
                <c:pt idx="0">
                  <c:v>348.83</c:v>
                </c:pt>
                <c:pt idx="1">
                  <c:v>733.78</c:v>
                </c:pt>
                <c:pt idx="2">
                  <c:v>383.24</c:v>
                </c:pt>
                <c:pt idx="3">
                  <c:v>414.77</c:v>
                </c:pt>
                <c:pt idx="4">
                  <c:v>1702.95</c:v>
                </c:pt>
                <c:pt idx="5">
                  <c:v>1328.83</c:v>
                </c:pt>
                <c:pt idx="6">
                  <c:v>99.07</c:v>
                </c:pt>
                <c:pt idx="7">
                  <c:v>308.05</c:v>
                </c:pt>
                <c:pt idx="8">
                  <c:v>138.22999999999999</c:v>
                </c:pt>
                <c:pt idx="9">
                  <c:v>140.65</c:v>
                </c:pt>
                <c:pt idx="10">
                  <c:v>383.19</c:v>
                </c:pt>
                <c:pt idx="11">
                  <c:v>258.04000000000002</c:v>
                </c:pt>
                <c:pt idx="12">
                  <c:v>1503.15</c:v>
                </c:pt>
                <c:pt idx="13">
                  <c:v>645.11</c:v>
                </c:pt>
                <c:pt idx="14">
                  <c:v>312.83999999999997</c:v>
                </c:pt>
                <c:pt idx="15">
                  <c:v>767.97</c:v>
                </c:pt>
                <c:pt idx="16">
                  <c:v>207.36</c:v>
                </c:pt>
                <c:pt idx="17">
                  <c:v>187.39</c:v>
                </c:pt>
                <c:pt idx="18">
                  <c:v>474.39</c:v>
                </c:pt>
                <c:pt idx="19">
                  <c:v>1154.18</c:v>
                </c:pt>
                <c:pt idx="20">
                  <c:v>135.11000000000001</c:v>
                </c:pt>
                <c:pt idx="21">
                  <c:v>800.12</c:v>
                </c:pt>
                <c:pt idx="22">
                  <c:v>742.68</c:v>
                </c:pt>
                <c:pt idx="23">
                  <c:v>496.81</c:v>
                </c:pt>
                <c:pt idx="24">
                  <c:v>1734.15</c:v>
                </c:pt>
                <c:pt idx="25">
                  <c:v>336.86</c:v>
                </c:pt>
                <c:pt idx="26">
                  <c:v>268.5</c:v>
                </c:pt>
                <c:pt idx="27">
                  <c:v>505.94</c:v>
                </c:pt>
                <c:pt idx="28">
                  <c:v>279.87</c:v>
                </c:pt>
                <c:pt idx="29">
                  <c:v>560.80999999999995</c:v>
                </c:pt>
                <c:pt idx="30">
                  <c:v>426.6</c:v>
                </c:pt>
                <c:pt idx="31">
                  <c:v>861.43</c:v>
                </c:pt>
                <c:pt idx="32">
                  <c:v>62.61</c:v>
                </c:pt>
                <c:pt idx="33">
                  <c:v>345.85</c:v>
                </c:pt>
                <c:pt idx="34">
                  <c:v>386.91</c:v>
                </c:pt>
                <c:pt idx="35">
                  <c:v>635.61</c:v>
                </c:pt>
                <c:pt idx="36">
                  <c:v>486.94</c:v>
                </c:pt>
                <c:pt idx="37">
                  <c:v>164.25</c:v>
                </c:pt>
                <c:pt idx="38">
                  <c:v>344.97</c:v>
                </c:pt>
                <c:pt idx="39">
                  <c:v>268.43</c:v>
                </c:pt>
                <c:pt idx="40">
                  <c:v>75.900000000000006</c:v>
                </c:pt>
                <c:pt idx="41">
                  <c:v>412.2</c:v>
                </c:pt>
                <c:pt idx="42">
                  <c:v>62.72</c:v>
                </c:pt>
                <c:pt idx="43">
                  <c:v>659.66</c:v>
                </c:pt>
                <c:pt idx="44">
                  <c:v>762.73</c:v>
                </c:pt>
                <c:pt idx="45">
                  <c:v>105.89</c:v>
                </c:pt>
                <c:pt idx="46">
                  <c:v>962.83</c:v>
                </c:pt>
                <c:pt idx="47">
                  <c:v>342.81</c:v>
                </c:pt>
                <c:pt idx="48">
                  <c:v>244.14</c:v>
                </c:pt>
                <c:pt idx="49">
                  <c:v>285.81</c:v>
                </c:pt>
                <c:pt idx="50">
                  <c:v>148</c:v>
                </c:pt>
                <c:pt idx="51">
                  <c:v>445.78</c:v>
                </c:pt>
                <c:pt idx="52">
                  <c:v>159.88</c:v>
                </c:pt>
                <c:pt idx="53">
                  <c:v>974.73</c:v>
                </c:pt>
                <c:pt idx="54">
                  <c:v>107.46</c:v>
                </c:pt>
                <c:pt idx="55">
                  <c:v>197.48</c:v>
                </c:pt>
                <c:pt idx="56">
                  <c:v>604.49</c:v>
                </c:pt>
                <c:pt idx="57">
                  <c:v>268.49</c:v>
                </c:pt>
                <c:pt idx="58">
                  <c:v>30.06</c:v>
                </c:pt>
                <c:pt idx="59">
                  <c:v>789.78</c:v>
                </c:pt>
                <c:pt idx="60">
                  <c:v>279.27999999999997</c:v>
                </c:pt>
                <c:pt idx="61">
                  <c:v>1108.5899999999999</c:v>
                </c:pt>
                <c:pt idx="62">
                  <c:v>883.47</c:v>
                </c:pt>
                <c:pt idx="63">
                  <c:v>155.26</c:v>
                </c:pt>
                <c:pt idx="64">
                  <c:v>311.82</c:v>
                </c:pt>
                <c:pt idx="65">
                  <c:v>660.39</c:v>
                </c:pt>
                <c:pt idx="66">
                  <c:v>1650.52</c:v>
                </c:pt>
                <c:pt idx="67">
                  <c:v>928.32</c:v>
                </c:pt>
                <c:pt idx="68">
                  <c:v>416.01</c:v>
                </c:pt>
                <c:pt idx="69">
                  <c:v>158.51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76-4BC6-A7A7-080D8BAD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Discount % Impact on Estimated Profit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Estimated Profit</c:v>
          </c:tx>
          <c:cat>
            <c:numRef>
              <c:f>'What-If'!$D$4:$D$10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'What-If'!$E$4:$E$10</c:f>
              <c:numCache>
                <c:formatCode>\₹#,##0.00</c:formatCode>
                <c:ptCount val="7"/>
                <c:pt idx="0">
                  <c:v>2889.7629862499998</c:v>
                </c:pt>
                <c:pt idx="1">
                  <c:v>2408.1358218749992</c:v>
                </c:pt>
                <c:pt idx="2">
                  <c:v>1926.5086575000005</c:v>
                </c:pt>
                <c:pt idx="3">
                  <c:v>1444.8814931249999</c:v>
                </c:pt>
                <c:pt idx="4">
                  <c:v>963.25432875000024</c:v>
                </c:pt>
                <c:pt idx="5">
                  <c:v>481.62716437500058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4-4A55-8001-35295172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Region KPIs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Dashboard!$D$4:$D$8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Dashboard!$E$4:$E$8</c:f>
              <c:numCache>
                <c:formatCode>\₹#,##0.00</c:formatCode>
                <c:ptCount val="5"/>
                <c:pt idx="0">
                  <c:v>176891.51700000002</c:v>
                </c:pt>
                <c:pt idx="1">
                  <c:v>102383.1385</c:v>
                </c:pt>
                <c:pt idx="2">
                  <c:v>33770.738500000007</c:v>
                </c:pt>
                <c:pt idx="3">
                  <c:v>187240.56399999998</c:v>
                </c:pt>
                <c:pt idx="4">
                  <c:v>207112.10449999999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7-4CB8-A10D-CB14C2D076D7}"/>
            </c:ext>
          </c:extLst>
        </c:ser>
        <c:ser>
          <c:idx val="1"/>
          <c:order val="1"/>
          <c:tx>
            <c:v>Total Profit</c:v>
          </c:tx>
          <c:invertIfNegative val="1"/>
          <c:cat>
            <c:strRef>
              <c:f>Dashboard!$D$4:$D$8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Dashboard!$F$4:$F$8</c:f>
              <c:numCache>
                <c:formatCode>\₹#,##0.00</c:formatCode>
                <c:ptCount val="5"/>
                <c:pt idx="0">
                  <c:v>9575.4100000000017</c:v>
                </c:pt>
                <c:pt idx="1">
                  <c:v>5697.14</c:v>
                </c:pt>
                <c:pt idx="2">
                  <c:v>2254.7599999999998</c:v>
                </c:pt>
                <c:pt idx="3">
                  <c:v>10569.02</c:v>
                </c:pt>
                <c:pt idx="4">
                  <c:v>13207.25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7-4CB8-A10D-CB14C2D0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Product Sales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Total Sales</c:v>
          </c:tx>
          <c:cat>
            <c:strRef>
              <c:f>Dashboard!$I$4:$I$8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Dashboard!$J$4:$J$8</c:f>
              <c:numCache>
                <c:formatCode>\₹#,##0.00</c:formatCode>
                <c:ptCount val="5"/>
                <c:pt idx="0">
                  <c:v>192139.65749999997</c:v>
                </c:pt>
                <c:pt idx="1">
                  <c:v>64435.534500000009</c:v>
                </c:pt>
                <c:pt idx="2">
                  <c:v>115896.41200000001</c:v>
                </c:pt>
                <c:pt idx="3">
                  <c:v>140645.95549999998</c:v>
                </c:pt>
                <c:pt idx="4">
                  <c:v>194280.503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A-4E94-8D1A-C8ED26296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High Value Customers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 Name</c:v>
          </c:tx>
          <c:invertIfNegative val="1"/>
          <c:cat>
            <c:numRef>
              <c:f>Analysis!$A$13:$A$22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Analysis!$B$13:$B$22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B-40BA-87CA-B08CD8278198}"/>
            </c:ext>
          </c:extLst>
        </c:ser>
        <c:ser>
          <c:idx val="1"/>
          <c:order val="1"/>
          <c:tx>
            <c:v>Customer ID</c:v>
          </c:tx>
          <c:invertIfNegative val="1"/>
          <c:cat>
            <c:numRef>
              <c:f>Analysis!$A$13:$A$22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Analysis!$C$13:$C$22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B-40BA-87CA-B08CD8278198}"/>
            </c:ext>
          </c:extLst>
        </c:ser>
        <c:ser>
          <c:idx val="2"/>
          <c:order val="2"/>
          <c:tx>
            <c:v>Total Purchase</c:v>
          </c:tx>
          <c:invertIfNegative val="1"/>
          <c:cat>
            <c:numRef>
              <c:f>Analysis!$A$13:$A$22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Analysis!$D$13:$D$22</c:f>
              <c:numCache>
                <c:formatCode>\₹#,##0.00</c:formatCode>
                <c:ptCount val="10"/>
                <c:pt idx="0">
                  <c:v>25840.57</c:v>
                </c:pt>
                <c:pt idx="1">
                  <c:v>25147.982</c:v>
                </c:pt>
                <c:pt idx="2">
                  <c:v>23444.100000000002</c:v>
                </c:pt>
                <c:pt idx="3">
                  <c:v>23259.391499999998</c:v>
                </c:pt>
                <c:pt idx="4">
                  <c:v>22129.56</c:v>
                </c:pt>
                <c:pt idx="5">
                  <c:v>22128.92</c:v>
                </c:pt>
                <c:pt idx="6">
                  <c:v>20644.146000000001</c:v>
                </c:pt>
                <c:pt idx="7">
                  <c:v>20405.62</c:v>
                </c:pt>
                <c:pt idx="8">
                  <c:v>20001.231</c:v>
                </c:pt>
                <c:pt idx="9">
                  <c:v>18677.560000000001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B-40BA-87CA-B08CD827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2:O82">
  <tableColumns count="15">
    <tableColumn id="1" xr3:uid="{00000000-0010-0000-0000-000001000000}" name="Customer_ID"/>
    <tableColumn id="2" xr3:uid="{00000000-0010-0000-0000-000002000000}" name="Customer_Name"/>
    <tableColumn id="3" xr3:uid="{00000000-0010-0000-0000-000003000000}" name="Region"/>
    <tableColumn id="4" xr3:uid="{00000000-0010-0000-0000-000004000000}" name="Product_Category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/>
    <tableColumn id="9" xr3:uid="{00000000-0010-0000-0000-000009000000}" name="Profit"/>
    <tableColumn id="10" xr3:uid="{00000000-0010-0000-0000-00000A000000}" name="Total_Purchase"/>
    <tableColumn id="11" xr3:uid="{00000000-0010-0000-0000-00000B000000}" name="Month"/>
    <tableColumn id="12" xr3:uid="{00000000-0010-0000-0000-00000C000000}" name="Monthly_Sales"/>
    <tableColumn id="13" xr3:uid="{00000000-0010-0000-0000-00000D000000}" name="Growth_Icon"/>
    <tableColumn id="14" xr3:uid="{00000000-0010-0000-0000-00000E000000}" name="Timestamp"/>
    <tableColumn id="15" xr3:uid="{00000000-0010-0000-0000-00000F000000}" name="Customer_Rank">
      <calculatedColumnFormula>RANK(J3,$J$3:$J$82,0)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workbookViewId="0">
      <selection activeCell="R10" sqref="R10"/>
    </sheetView>
  </sheetViews>
  <sheetFormatPr defaultRowHeight="13.8"/>
  <cols>
    <col min="1" max="1" width="13" customWidth="1"/>
    <col min="2" max="2" width="18" customWidth="1"/>
    <col min="3" max="3" width="8.19921875" customWidth="1"/>
    <col min="4" max="4" width="18" customWidth="1"/>
    <col min="5" max="5" width="6.8984375" customWidth="1"/>
    <col min="6" max="7" width="9.69921875" customWidth="1"/>
    <col min="8" max="8" width="12" customWidth="1"/>
    <col min="9" max="9" width="7.19921875" customWidth="1"/>
    <col min="10" max="10" width="14.59765625" customWidth="1"/>
    <col min="11" max="11" width="7.8984375" customWidth="1"/>
    <col min="12" max="12" width="14.3984375" customWidth="1"/>
    <col min="13" max="13" width="13" customWidth="1"/>
    <col min="14" max="14" width="11.5" customWidth="1"/>
    <col min="15" max="15" width="15.09765625" customWidth="1"/>
  </cols>
  <sheetData>
    <row r="1" spans="1:15" ht="30" customHeight="1">
      <c r="A1" s="6" t="s">
        <v>0</v>
      </c>
      <c r="B1" s="7"/>
      <c r="C1" s="7"/>
      <c r="D1" s="7"/>
      <c r="E1" s="8"/>
      <c r="F1" s="7"/>
      <c r="G1" s="9"/>
      <c r="H1" s="10"/>
      <c r="I1" s="8"/>
      <c r="J1" s="8"/>
      <c r="K1" s="7"/>
      <c r="L1" s="7"/>
      <c r="M1" s="7"/>
      <c r="N1" s="11"/>
      <c r="O1" s="7"/>
    </row>
    <row r="2" spans="1:15" ht="14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ht="14.4">
      <c r="A3" s="1" t="s">
        <v>16</v>
      </c>
      <c r="B3" s="1" t="s">
        <v>17</v>
      </c>
      <c r="C3" s="1" t="s">
        <v>18</v>
      </c>
      <c r="D3" s="1" t="s">
        <v>19</v>
      </c>
      <c r="E3" s="1">
        <v>716.88</v>
      </c>
      <c r="F3" s="1">
        <v>7</v>
      </c>
      <c r="G3" s="1">
        <v>0.15</v>
      </c>
      <c r="H3" s="1">
        <v>45392</v>
      </c>
      <c r="I3" s="1">
        <v>348.83</v>
      </c>
      <c r="J3" s="1">
        <f t="shared" ref="J3:J34" si="0">E3*F3*(1-G3)</f>
        <v>4265.4359999999997</v>
      </c>
      <c r="K3" s="1" t="str">
        <f t="shared" ref="K3:K34" si="1">TEXT(H3,"mmm-yyyy")</f>
        <v>Apr-2024</v>
      </c>
      <c r="L3" s="1">
        <f t="shared" ref="L3:L34" si="2">SUMIFS($J:$J,$K:$K,K3)</f>
        <v>191711.30899999998</v>
      </c>
      <c r="M3" s="1" t="str">
        <f>"►"</f>
        <v>►</v>
      </c>
      <c r="N3" s="1">
        <f t="shared" ref="N3:N34" ca="1" si="3">NOW()</f>
        <v>46283.658132986115</v>
      </c>
      <c r="O3" s="1">
        <f t="shared" ref="O3:O34" si="4">RANK(J3,$J$3:$J$82,0)</f>
        <v>59</v>
      </c>
    </row>
    <row r="4" spans="1:15" ht="14.4">
      <c r="A4" s="1" t="s">
        <v>20</v>
      </c>
      <c r="B4" s="1" t="s">
        <v>21</v>
      </c>
      <c r="C4" s="1" t="s">
        <v>18</v>
      </c>
      <c r="D4" s="1" t="s">
        <v>22</v>
      </c>
      <c r="E4" s="1">
        <v>1478.05</v>
      </c>
      <c r="F4" s="1">
        <v>7</v>
      </c>
      <c r="G4" s="1">
        <v>0.15</v>
      </c>
      <c r="H4" s="1">
        <v>45392</v>
      </c>
      <c r="I4" s="1">
        <v>733.78</v>
      </c>
      <c r="J4" s="1">
        <f t="shared" si="0"/>
        <v>8794.3975000000009</v>
      </c>
      <c r="K4" s="1" t="str">
        <f t="shared" si="1"/>
        <v>Apr-2024</v>
      </c>
      <c r="L4" s="1">
        <f t="shared" si="2"/>
        <v>191711.30899999998</v>
      </c>
      <c r="M4" s="1" t="str">
        <f t="shared" ref="M4:M35" si="5">IF(L4&gt;L3,"▲",IF(L4&lt;L3,"▼","►"))</f>
        <v>►</v>
      </c>
      <c r="N4" s="1">
        <f t="shared" ca="1" si="3"/>
        <v>46283.658132986115</v>
      </c>
      <c r="O4" s="1">
        <f t="shared" si="4"/>
        <v>30</v>
      </c>
    </row>
    <row r="5" spans="1:15" ht="14.4">
      <c r="A5" s="1" t="s">
        <v>23</v>
      </c>
      <c r="B5" s="1" t="s">
        <v>24</v>
      </c>
      <c r="C5" s="1" t="s">
        <v>25</v>
      </c>
      <c r="D5" s="1" t="s">
        <v>26</v>
      </c>
      <c r="E5" s="1">
        <v>1570.26</v>
      </c>
      <c r="F5" s="1">
        <v>7</v>
      </c>
      <c r="G5" s="1">
        <v>0.15</v>
      </c>
      <c r="H5" s="1">
        <v>45395</v>
      </c>
      <c r="I5" s="1">
        <v>383.24</v>
      </c>
      <c r="J5" s="1">
        <f t="shared" si="0"/>
        <v>9343.0469999999987</v>
      </c>
      <c r="K5" s="1" t="str">
        <f t="shared" si="1"/>
        <v>Apr-2024</v>
      </c>
      <c r="L5" s="1">
        <f t="shared" si="2"/>
        <v>191711.30899999998</v>
      </c>
      <c r="M5" s="1" t="str">
        <f t="shared" si="5"/>
        <v>►</v>
      </c>
      <c r="N5" s="1">
        <f t="shared" ca="1" si="3"/>
        <v>46283.658132986115</v>
      </c>
      <c r="O5" s="1">
        <f t="shared" si="4"/>
        <v>29</v>
      </c>
    </row>
    <row r="6" spans="1:15" ht="14.4">
      <c r="A6" s="1" t="s">
        <v>27</v>
      </c>
      <c r="B6" s="1" t="s">
        <v>28</v>
      </c>
      <c r="C6" s="1" t="s">
        <v>29</v>
      </c>
      <c r="D6" s="1" t="s">
        <v>30</v>
      </c>
      <c r="E6" s="1">
        <v>731.49</v>
      </c>
      <c r="F6" s="1">
        <v>9</v>
      </c>
      <c r="G6" s="1">
        <v>0.05</v>
      </c>
      <c r="H6" s="1">
        <v>45395</v>
      </c>
      <c r="I6" s="1">
        <v>414.77</v>
      </c>
      <c r="J6" s="1">
        <f t="shared" si="0"/>
        <v>6254.2394999999997</v>
      </c>
      <c r="K6" s="1" t="str">
        <f t="shared" si="1"/>
        <v>Apr-2024</v>
      </c>
      <c r="L6" s="1">
        <f t="shared" si="2"/>
        <v>191711.30899999998</v>
      </c>
      <c r="M6" s="1" t="str">
        <f t="shared" si="5"/>
        <v>►</v>
      </c>
      <c r="N6" s="1">
        <f t="shared" ca="1" si="3"/>
        <v>46283.658132986115</v>
      </c>
      <c r="O6" s="1">
        <f t="shared" si="4"/>
        <v>46</v>
      </c>
    </row>
    <row r="7" spans="1:15" ht="14.4">
      <c r="A7" s="1" t="s">
        <v>31</v>
      </c>
      <c r="B7" s="1" t="s">
        <v>32</v>
      </c>
      <c r="C7" s="1" t="s">
        <v>25</v>
      </c>
      <c r="D7" s="1" t="s">
        <v>22</v>
      </c>
      <c r="E7" s="1">
        <v>1360.03</v>
      </c>
      <c r="F7" s="1">
        <v>19</v>
      </c>
      <c r="G7" s="1">
        <v>0</v>
      </c>
      <c r="H7" s="1">
        <v>45398</v>
      </c>
      <c r="I7" s="1">
        <v>1702.95</v>
      </c>
      <c r="J7" s="1">
        <f t="shared" si="0"/>
        <v>25840.57</v>
      </c>
      <c r="K7" s="1" t="str">
        <f t="shared" si="1"/>
        <v>Apr-2024</v>
      </c>
      <c r="L7" s="1">
        <f t="shared" si="2"/>
        <v>191711.30899999998</v>
      </c>
      <c r="M7" s="1" t="str">
        <f t="shared" si="5"/>
        <v>►</v>
      </c>
      <c r="N7" s="1">
        <f t="shared" ca="1" si="3"/>
        <v>46283.658132986115</v>
      </c>
      <c r="O7" s="1">
        <f t="shared" si="4"/>
        <v>1</v>
      </c>
    </row>
    <row r="8" spans="1:15" ht="14.4">
      <c r="A8" s="1" t="s">
        <v>33</v>
      </c>
      <c r="B8" s="1" t="s">
        <v>34</v>
      </c>
      <c r="C8" s="1" t="s">
        <v>18</v>
      </c>
      <c r="D8" s="1" t="s">
        <v>35</v>
      </c>
      <c r="E8" s="1">
        <v>945.99</v>
      </c>
      <c r="F8" s="1">
        <v>18</v>
      </c>
      <c r="G8" s="1">
        <v>0.05</v>
      </c>
      <c r="H8" s="1">
        <v>45399</v>
      </c>
      <c r="I8" s="1">
        <v>1328.83</v>
      </c>
      <c r="J8" s="1">
        <f t="shared" si="0"/>
        <v>16176.428999999998</v>
      </c>
      <c r="K8" s="1" t="str">
        <f t="shared" si="1"/>
        <v>Apr-2024</v>
      </c>
      <c r="L8" s="1">
        <f t="shared" si="2"/>
        <v>191711.30899999998</v>
      </c>
      <c r="M8" s="1" t="str">
        <f t="shared" si="5"/>
        <v>►</v>
      </c>
      <c r="N8" s="1">
        <f t="shared" ca="1" si="3"/>
        <v>46283.658132986115</v>
      </c>
      <c r="O8" s="1">
        <f t="shared" si="4"/>
        <v>12</v>
      </c>
    </row>
    <row r="9" spans="1:15" ht="14.4">
      <c r="A9" s="1" t="s">
        <v>23</v>
      </c>
      <c r="B9" s="1" t="s">
        <v>24</v>
      </c>
      <c r="C9" s="1" t="s">
        <v>25</v>
      </c>
      <c r="D9" s="1" t="s">
        <v>19</v>
      </c>
      <c r="E9" s="1">
        <v>438.74</v>
      </c>
      <c r="F9" s="1">
        <v>3</v>
      </c>
      <c r="G9" s="1">
        <v>0.05</v>
      </c>
      <c r="H9" s="1">
        <v>45400</v>
      </c>
      <c r="I9" s="1">
        <v>99.07</v>
      </c>
      <c r="J9" s="1">
        <f t="shared" si="0"/>
        <v>1250.4089999999999</v>
      </c>
      <c r="K9" s="1" t="str">
        <f t="shared" si="1"/>
        <v>Apr-2024</v>
      </c>
      <c r="L9" s="1">
        <f t="shared" si="2"/>
        <v>191711.30899999998</v>
      </c>
      <c r="M9" s="1" t="str">
        <f t="shared" si="5"/>
        <v>►</v>
      </c>
      <c r="N9" s="1">
        <f t="shared" ca="1" si="3"/>
        <v>46283.658132986115</v>
      </c>
      <c r="O9" s="1">
        <f t="shared" si="4"/>
        <v>79</v>
      </c>
    </row>
    <row r="10" spans="1:15" ht="14.4">
      <c r="A10" s="1" t="s">
        <v>36</v>
      </c>
      <c r="B10" s="1" t="s">
        <v>37</v>
      </c>
      <c r="C10" s="1" t="s">
        <v>38</v>
      </c>
      <c r="D10" s="1" t="s">
        <v>19</v>
      </c>
      <c r="E10" s="1">
        <v>407.77</v>
      </c>
      <c r="F10" s="1">
        <v>17</v>
      </c>
      <c r="G10" s="1">
        <v>0.2</v>
      </c>
      <c r="H10" s="1">
        <v>45401</v>
      </c>
      <c r="I10" s="1">
        <v>308.05</v>
      </c>
      <c r="J10" s="1">
        <f t="shared" si="0"/>
        <v>5545.6720000000005</v>
      </c>
      <c r="K10" s="1" t="str">
        <f t="shared" si="1"/>
        <v>Apr-2024</v>
      </c>
      <c r="L10" s="1">
        <f t="shared" si="2"/>
        <v>191711.30899999998</v>
      </c>
      <c r="M10" s="1" t="str">
        <f t="shared" si="5"/>
        <v>►</v>
      </c>
      <c r="N10" s="1">
        <f t="shared" ca="1" si="3"/>
        <v>46283.658132986115</v>
      </c>
      <c r="O10" s="1">
        <f t="shared" si="4"/>
        <v>50</v>
      </c>
    </row>
    <row r="11" spans="1:15" ht="14.4">
      <c r="A11" s="1" t="s">
        <v>39</v>
      </c>
      <c r="B11" s="1" t="s">
        <v>40</v>
      </c>
      <c r="C11" s="1" t="s">
        <v>29</v>
      </c>
      <c r="D11" s="1" t="s">
        <v>26</v>
      </c>
      <c r="E11" s="1">
        <v>1073.6500000000001</v>
      </c>
      <c r="F11" s="1">
        <v>3</v>
      </c>
      <c r="G11" s="1">
        <v>0.2</v>
      </c>
      <c r="H11" s="1">
        <v>45402</v>
      </c>
      <c r="I11" s="1">
        <v>138.22999999999999</v>
      </c>
      <c r="J11" s="1">
        <f t="shared" si="0"/>
        <v>2576.7600000000002</v>
      </c>
      <c r="K11" s="1" t="str">
        <f t="shared" si="1"/>
        <v>Apr-2024</v>
      </c>
      <c r="L11" s="1">
        <f t="shared" si="2"/>
        <v>191711.30899999998</v>
      </c>
      <c r="M11" s="1" t="str">
        <f t="shared" si="5"/>
        <v>►</v>
      </c>
      <c r="N11" s="1">
        <f t="shared" ca="1" si="3"/>
        <v>46283.658132986115</v>
      </c>
      <c r="O11" s="1">
        <f t="shared" si="4"/>
        <v>71</v>
      </c>
    </row>
    <row r="12" spans="1:15" ht="14.4">
      <c r="A12" s="1" t="s">
        <v>41</v>
      </c>
      <c r="B12" s="1" t="s">
        <v>42</v>
      </c>
      <c r="C12" s="1" t="s">
        <v>43</v>
      </c>
      <c r="D12" s="1" t="s">
        <v>19</v>
      </c>
      <c r="E12" s="1">
        <v>1088.1199999999999</v>
      </c>
      <c r="F12" s="1">
        <v>3</v>
      </c>
      <c r="G12" s="1">
        <v>0</v>
      </c>
      <c r="H12" s="1">
        <v>45403</v>
      </c>
      <c r="I12" s="1">
        <v>140.65</v>
      </c>
      <c r="J12" s="1">
        <f t="shared" si="0"/>
        <v>3264.3599999999997</v>
      </c>
      <c r="K12" s="1" t="str">
        <f t="shared" si="1"/>
        <v>Apr-2024</v>
      </c>
      <c r="L12" s="1">
        <f t="shared" si="2"/>
        <v>191711.30899999998</v>
      </c>
      <c r="M12" s="1" t="str">
        <f t="shared" si="5"/>
        <v>►</v>
      </c>
      <c r="N12" s="1">
        <f t="shared" ca="1" si="3"/>
        <v>46283.658132986115</v>
      </c>
      <c r="O12" s="1">
        <f t="shared" si="4"/>
        <v>65</v>
      </c>
    </row>
    <row r="13" spans="1:15" ht="14.4">
      <c r="A13" s="1" t="s">
        <v>44</v>
      </c>
      <c r="B13" s="1" t="s">
        <v>45</v>
      </c>
      <c r="C13" s="1" t="s">
        <v>43</v>
      </c>
      <c r="D13" s="1" t="s">
        <v>26</v>
      </c>
      <c r="E13" s="1">
        <v>619.14</v>
      </c>
      <c r="F13" s="1">
        <v>12</v>
      </c>
      <c r="G13" s="1">
        <v>0</v>
      </c>
      <c r="H13" s="1">
        <v>45403</v>
      </c>
      <c r="I13" s="1">
        <v>383.19</v>
      </c>
      <c r="J13" s="1">
        <f t="shared" si="0"/>
        <v>7429.68</v>
      </c>
      <c r="K13" s="1" t="str">
        <f t="shared" si="1"/>
        <v>Apr-2024</v>
      </c>
      <c r="L13" s="1">
        <f t="shared" si="2"/>
        <v>191711.30899999998</v>
      </c>
      <c r="M13" s="1" t="str">
        <f t="shared" si="5"/>
        <v>►</v>
      </c>
      <c r="N13" s="1">
        <f t="shared" ca="1" si="3"/>
        <v>46283.658132986115</v>
      </c>
      <c r="O13" s="1">
        <f t="shared" si="4"/>
        <v>38</v>
      </c>
    </row>
    <row r="14" spans="1:15" ht="14.4">
      <c r="A14" s="1" t="s">
        <v>33</v>
      </c>
      <c r="B14" s="1" t="s">
        <v>34</v>
      </c>
      <c r="C14" s="1" t="s">
        <v>18</v>
      </c>
      <c r="D14" s="1" t="s">
        <v>26</v>
      </c>
      <c r="E14" s="1">
        <v>1316.34</v>
      </c>
      <c r="F14" s="1">
        <v>4</v>
      </c>
      <c r="G14" s="1">
        <v>0.05</v>
      </c>
      <c r="H14" s="1">
        <v>45404</v>
      </c>
      <c r="I14" s="1">
        <v>258.04000000000002</v>
      </c>
      <c r="J14" s="1">
        <f t="shared" si="0"/>
        <v>5002.0919999999996</v>
      </c>
      <c r="K14" s="1" t="str">
        <f t="shared" si="1"/>
        <v>Apr-2024</v>
      </c>
      <c r="L14" s="1">
        <f t="shared" si="2"/>
        <v>191711.30899999998</v>
      </c>
      <c r="M14" s="1" t="str">
        <f t="shared" si="5"/>
        <v>►</v>
      </c>
      <c r="N14" s="1">
        <f t="shared" ca="1" si="3"/>
        <v>46283.658132986115</v>
      </c>
      <c r="O14" s="1">
        <f t="shared" si="4"/>
        <v>53</v>
      </c>
    </row>
    <row r="15" spans="1:15" ht="14.4">
      <c r="A15" s="1" t="s">
        <v>46</v>
      </c>
      <c r="B15" s="1" t="s">
        <v>47</v>
      </c>
      <c r="C15" s="1" t="s">
        <v>18</v>
      </c>
      <c r="D15" s="1" t="s">
        <v>19</v>
      </c>
      <c r="E15" s="1">
        <v>1098.68</v>
      </c>
      <c r="F15" s="1">
        <v>17</v>
      </c>
      <c r="G15" s="1">
        <v>0</v>
      </c>
      <c r="H15" s="1">
        <v>45406</v>
      </c>
      <c r="I15" s="1">
        <v>1503.15</v>
      </c>
      <c r="J15" s="1">
        <f t="shared" si="0"/>
        <v>18677.560000000001</v>
      </c>
      <c r="K15" s="1" t="str">
        <f t="shared" si="1"/>
        <v>Apr-2024</v>
      </c>
      <c r="L15" s="1">
        <f t="shared" si="2"/>
        <v>191711.30899999998</v>
      </c>
      <c r="M15" s="1" t="str">
        <f t="shared" si="5"/>
        <v>►</v>
      </c>
      <c r="N15" s="1">
        <f t="shared" ca="1" si="3"/>
        <v>46283.658132986115</v>
      </c>
      <c r="O15" s="1">
        <f t="shared" si="4"/>
        <v>10</v>
      </c>
    </row>
    <row r="16" spans="1:15" ht="14.4">
      <c r="A16" s="1" t="s">
        <v>48</v>
      </c>
      <c r="B16" s="1" t="s">
        <v>49</v>
      </c>
      <c r="C16" s="1" t="s">
        <v>43</v>
      </c>
      <c r="D16" s="1" t="s">
        <v>19</v>
      </c>
      <c r="E16" s="1">
        <v>1523.66</v>
      </c>
      <c r="F16" s="1">
        <v>6</v>
      </c>
      <c r="G16" s="1">
        <v>0.1</v>
      </c>
      <c r="H16" s="1">
        <v>45406</v>
      </c>
      <c r="I16" s="1">
        <v>645.11</v>
      </c>
      <c r="J16" s="1">
        <f t="shared" si="0"/>
        <v>8227.764000000001</v>
      </c>
      <c r="K16" s="1" t="str">
        <f t="shared" si="1"/>
        <v>Apr-2024</v>
      </c>
      <c r="L16" s="1">
        <f t="shared" si="2"/>
        <v>191711.30899999998</v>
      </c>
      <c r="M16" s="1" t="str">
        <f t="shared" si="5"/>
        <v>►</v>
      </c>
      <c r="N16" s="1">
        <f t="shared" ca="1" si="3"/>
        <v>46283.658132986115</v>
      </c>
      <c r="O16" s="1">
        <f t="shared" si="4"/>
        <v>33</v>
      </c>
    </row>
    <row r="17" spans="1:15" ht="14.4">
      <c r="A17" s="1" t="s">
        <v>50</v>
      </c>
      <c r="B17" s="1" t="s">
        <v>40</v>
      </c>
      <c r="C17" s="1" t="s">
        <v>29</v>
      </c>
      <c r="D17" s="1" t="s">
        <v>30</v>
      </c>
      <c r="E17" s="1">
        <v>853</v>
      </c>
      <c r="F17" s="1">
        <v>11</v>
      </c>
      <c r="G17" s="1">
        <v>0.2</v>
      </c>
      <c r="H17" s="1">
        <v>45408</v>
      </c>
      <c r="I17" s="1">
        <v>312.83999999999997</v>
      </c>
      <c r="J17" s="1">
        <f t="shared" si="0"/>
        <v>7506.4000000000005</v>
      </c>
      <c r="K17" s="1" t="str">
        <f t="shared" si="1"/>
        <v>Apr-2024</v>
      </c>
      <c r="L17" s="1">
        <f t="shared" si="2"/>
        <v>191711.30899999998</v>
      </c>
      <c r="M17" s="1" t="str">
        <f t="shared" si="5"/>
        <v>►</v>
      </c>
      <c r="N17" s="1">
        <f t="shared" ca="1" si="3"/>
        <v>46283.658132986115</v>
      </c>
      <c r="O17" s="1">
        <f t="shared" si="4"/>
        <v>36</v>
      </c>
    </row>
    <row r="18" spans="1:15" ht="14.4">
      <c r="A18" s="1" t="s">
        <v>51</v>
      </c>
      <c r="B18" s="1" t="s">
        <v>34</v>
      </c>
      <c r="C18" s="1" t="s">
        <v>29</v>
      </c>
      <c r="D18" s="1" t="s">
        <v>19</v>
      </c>
      <c r="E18" s="1">
        <v>1276.94</v>
      </c>
      <c r="F18" s="1">
        <v>9</v>
      </c>
      <c r="G18" s="1">
        <v>0.05</v>
      </c>
      <c r="H18" s="1">
        <v>45409</v>
      </c>
      <c r="I18" s="1">
        <v>767.97</v>
      </c>
      <c r="J18" s="1">
        <f t="shared" si="0"/>
        <v>10917.837</v>
      </c>
      <c r="K18" s="1" t="str">
        <f t="shared" si="1"/>
        <v>Apr-2024</v>
      </c>
      <c r="L18" s="1">
        <f t="shared" si="2"/>
        <v>191711.30899999998</v>
      </c>
      <c r="M18" s="1" t="str">
        <f t="shared" si="5"/>
        <v>►</v>
      </c>
      <c r="N18" s="1">
        <f t="shared" ca="1" si="3"/>
        <v>46283.658132986115</v>
      </c>
      <c r="O18" s="1">
        <f t="shared" si="4"/>
        <v>23</v>
      </c>
    </row>
    <row r="19" spans="1:15" ht="14.4">
      <c r="A19" s="1" t="s">
        <v>33</v>
      </c>
      <c r="B19" s="1" t="s">
        <v>34</v>
      </c>
      <c r="C19" s="1" t="s">
        <v>18</v>
      </c>
      <c r="D19" s="1" t="s">
        <v>35</v>
      </c>
      <c r="E19" s="1">
        <v>661.5</v>
      </c>
      <c r="F19" s="1">
        <v>5</v>
      </c>
      <c r="G19" s="1">
        <v>0.15</v>
      </c>
      <c r="H19" s="1">
        <v>45409</v>
      </c>
      <c r="I19" s="1">
        <v>207.36</v>
      </c>
      <c r="J19" s="1">
        <f t="shared" si="0"/>
        <v>2811.375</v>
      </c>
      <c r="K19" s="1" t="str">
        <f t="shared" si="1"/>
        <v>Apr-2024</v>
      </c>
      <c r="L19" s="1">
        <f t="shared" si="2"/>
        <v>191711.30899999998</v>
      </c>
      <c r="M19" s="1" t="str">
        <f t="shared" si="5"/>
        <v>►</v>
      </c>
      <c r="N19" s="1">
        <f t="shared" ca="1" si="3"/>
        <v>46283.658132986115</v>
      </c>
      <c r="O19" s="1">
        <f t="shared" si="4"/>
        <v>69</v>
      </c>
    </row>
    <row r="20" spans="1:15" ht="14.4">
      <c r="A20" s="1" t="s">
        <v>36</v>
      </c>
      <c r="B20" s="1" t="s">
        <v>37</v>
      </c>
      <c r="C20" s="1" t="s">
        <v>38</v>
      </c>
      <c r="D20" s="1" t="s">
        <v>35</v>
      </c>
      <c r="E20" s="1">
        <v>966.89</v>
      </c>
      <c r="F20" s="1">
        <v>3</v>
      </c>
      <c r="G20" s="1">
        <v>0</v>
      </c>
      <c r="H20" s="1">
        <v>45411</v>
      </c>
      <c r="I20" s="1">
        <v>187.39</v>
      </c>
      <c r="J20" s="1">
        <f t="shared" si="0"/>
        <v>2900.67</v>
      </c>
      <c r="K20" s="1" t="str">
        <f t="shared" si="1"/>
        <v>Apr-2024</v>
      </c>
      <c r="L20" s="1">
        <f t="shared" si="2"/>
        <v>191711.30899999998</v>
      </c>
      <c r="M20" s="1" t="str">
        <f t="shared" si="5"/>
        <v>►</v>
      </c>
      <c r="N20" s="1">
        <f t="shared" ca="1" si="3"/>
        <v>46283.658132986115</v>
      </c>
      <c r="O20" s="1">
        <f t="shared" si="4"/>
        <v>66</v>
      </c>
    </row>
    <row r="21" spans="1:15" ht="14.4">
      <c r="A21" s="1" t="s">
        <v>44</v>
      </c>
      <c r="B21" s="1" t="s">
        <v>45</v>
      </c>
      <c r="C21" s="1" t="s">
        <v>43</v>
      </c>
      <c r="D21" s="1" t="s">
        <v>22</v>
      </c>
      <c r="E21" s="1">
        <v>706.56</v>
      </c>
      <c r="F21" s="1">
        <v>19</v>
      </c>
      <c r="G21" s="1">
        <v>0.15</v>
      </c>
      <c r="H21" s="1">
        <v>45411</v>
      </c>
      <c r="I21" s="1">
        <v>474.39</v>
      </c>
      <c r="J21" s="1">
        <f t="shared" si="0"/>
        <v>11410.944</v>
      </c>
      <c r="K21" s="1" t="str">
        <f t="shared" si="1"/>
        <v>Apr-2024</v>
      </c>
      <c r="L21" s="1">
        <f t="shared" si="2"/>
        <v>191711.30899999998</v>
      </c>
      <c r="M21" s="1" t="str">
        <f t="shared" si="5"/>
        <v>►</v>
      </c>
      <c r="N21" s="1">
        <f t="shared" ca="1" si="3"/>
        <v>46283.658132986115</v>
      </c>
      <c r="O21" s="1">
        <f t="shared" si="4"/>
        <v>20</v>
      </c>
    </row>
    <row r="22" spans="1:15" ht="14.4">
      <c r="A22" s="1" t="s">
        <v>31</v>
      </c>
      <c r="B22" s="1" t="s">
        <v>32</v>
      </c>
      <c r="C22" s="1" t="s">
        <v>25</v>
      </c>
      <c r="D22" s="1" t="s">
        <v>35</v>
      </c>
      <c r="E22" s="1">
        <v>1143.72</v>
      </c>
      <c r="F22" s="1">
        <v>19</v>
      </c>
      <c r="G22" s="1">
        <v>0.05</v>
      </c>
      <c r="H22" s="1">
        <v>45412</v>
      </c>
      <c r="I22" s="1">
        <v>1154.18</v>
      </c>
      <c r="J22" s="1">
        <f t="shared" si="0"/>
        <v>20644.146000000001</v>
      </c>
      <c r="K22" s="1" t="str">
        <f t="shared" si="1"/>
        <v>Apr-2024</v>
      </c>
      <c r="L22" s="1">
        <f t="shared" si="2"/>
        <v>191711.30899999998</v>
      </c>
      <c r="M22" s="1" t="str">
        <f t="shared" si="5"/>
        <v>►</v>
      </c>
      <c r="N22" s="1">
        <f t="shared" ca="1" si="3"/>
        <v>46283.658132986115</v>
      </c>
      <c r="O22" s="1">
        <f t="shared" si="4"/>
        <v>7</v>
      </c>
    </row>
    <row r="23" spans="1:15" ht="14.4">
      <c r="A23" s="1" t="s">
        <v>44</v>
      </c>
      <c r="B23" s="1" t="s">
        <v>45</v>
      </c>
      <c r="C23" s="1" t="s">
        <v>43</v>
      </c>
      <c r="D23" s="1" t="s">
        <v>19</v>
      </c>
      <c r="E23" s="1">
        <v>354.43</v>
      </c>
      <c r="F23" s="1">
        <v>6</v>
      </c>
      <c r="G23" s="1">
        <v>0.1</v>
      </c>
      <c r="H23" s="1">
        <v>45412</v>
      </c>
      <c r="I23" s="1">
        <v>135.11000000000001</v>
      </c>
      <c r="J23" s="1">
        <f t="shared" si="0"/>
        <v>1913.922</v>
      </c>
      <c r="K23" s="1" t="str">
        <f t="shared" si="1"/>
        <v>Apr-2024</v>
      </c>
      <c r="L23" s="1">
        <f t="shared" si="2"/>
        <v>191711.30899999998</v>
      </c>
      <c r="M23" s="1" t="str">
        <f t="shared" si="5"/>
        <v>►</v>
      </c>
      <c r="N23" s="1">
        <f t="shared" ca="1" si="3"/>
        <v>46283.658132986115</v>
      </c>
      <c r="O23" s="1">
        <f t="shared" si="4"/>
        <v>74</v>
      </c>
    </row>
    <row r="24" spans="1:15" ht="14.4">
      <c r="A24" s="1" t="s">
        <v>16</v>
      </c>
      <c r="B24" s="1" t="s">
        <v>17</v>
      </c>
      <c r="C24" s="1" t="s">
        <v>18</v>
      </c>
      <c r="D24" s="1" t="s">
        <v>22</v>
      </c>
      <c r="E24" s="1">
        <v>1352.79</v>
      </c>
      <c r="F24" s="1">
        <v>9</v>
      </c>
      <c r="G24" s="1">
        <v>0.1</v>
      </c>
      <c r="H24" s="1">
        <v>45412</v>
      </c>
      <c r="I24" s="1">
        <v>800.12</v>
      </c>
      <c r="J24" s="1">
        <f t="shared" si="0"/>
        <v>10957.599</v>
      </c>
      <c r="K24" s="1" t="str">
        <f t="shared" si="1"/>
        <v>Apr-2024</v>
      </c>
      <c r="L24" s="1">
        <f t="shared" si="2"/>
        <v>191711.30899999998</v>
      </c>
      <c r="M24" s="1" t="str">
        <f t="shared" si="5"/>
        <v>►</v>
      </c>
      <c r="N24" s="1">
        <f t="shared" ca="1" si="3"/>
        <v>46283.658132986115</v>
      </c>
      <c r="O24" s="1">
        <f t="shared" si="4"/>
        <v>22</v>
      </c>
    </row>
    <row r="25" spans="1:15" ht="14.4">
      <c r="A25" s="1" t="s">
        <v>52</v>
      </c>
      <c r="B25" s="1" t="s">
        <v>53</v>
      </c>
      <c r="C25" s="1" t="s">
        <v>38</v>
      </c>
      <c r="D25" s="1" t="s">
        <v>19</v>
      </c>
      <c r="E25" s="1">
        <v>1040.05</v>
      </c>
      <c r="F25" s="1">
        <v>13</v>
      </c>
      <c r="G25" s="1">
        <v>0.2</v>
      </c>
      <c r="H25" s="1">
        <v>45416</v>
      </c>
      <c r="I25" s="1">
        <v>742.68</v>
      </c>
      <c r="J25" s="1">
        <f t="shared" si="0"/>
        <v>10816.52</v>
      </c>
      <c r="K25" s="1" t="str">
        <f t="shared" si="1"/>
        <v>May-2024</v>
      </c>
      <c r="L25" s="1">
        <f t="shared" si="2"/>
        <v>180197.9785</v>
      </c>
      <c r="M25" s="1" t="str">
        <f t="shared" si="5"/>
        <v>▼</v>
      </c>
      <c r="N25" s="1">
        <f t="shared" ca="1" si="3"/>
        <v>46283.658132986115</v>
      </c>
      <c r="O25" s="1">
        <f t="shared" si="4"/>
        <v>24</v>
      </c>
    </row>
    <row r="26" spans="1:15" ht="14.4">
      <c r="A26" s="1" t="s">
        <v>39</v>
      </c>
      <c r="B26" s="1" t="s">
        <v>40</v>
      </c>
      <c r="C26" s="1" t="s">
        <v>29</v>
      </c>
      <c r="D26" s="1" t="s">
        <v>35</v>
      </c>
      <c r="E26" s="1">
        <v>940.84</v>
      </c>
      <c r="F26" s="1">
        <v>17</v>
      </c>
      <c r="G26" s="1">
        <v>0.15</v>
      </c>
      <c r="H26" s="1">
        <v>45416</v>
      </c>
      <c r="I26" s="1">
        <v>496.81</v>
      </c>
      <c r="J26" s="1">
        <f t="shared" si="0"/>
        <v>13595.138000000001</v>
      </c>
      <c r="K26" s="1" t="str">
        <f t="shared" si="1"/>
        <v>May-2024</v>
      </c>
      <c r="L26" s="1">
        <f t="shared" si="2"/>
        <v>180197.9785</v>
      </c>
      <c r="M26" s="1" t="str">
        <f t="shared" si="5"/>
        <v>►</v>
      </c>
      <c r="N26" s="1">
        <f t="shared" ca="1" si="3"/>
        <v>46283.658132986115</v>
      </c>
      <c r="O26" s="1">
        <f t="shared" si="4"/>
        <v>18</v>
      </c>
    </row>
    <row r="27" spans="1:15" ht="14.4">
      <c r="A27" s="1" t="s">
        <v>51</v>
      </c>
      <c r="B27" s="1" t="s">
        <v>34</v>
      </c>
      <c r="C27" s="1" t="s">
        <v>29</v>
      </c>
      <c r="D27" s="1" t="s">
        <v>22</v>
      </c>
      <c r="E27" s="1">
        <v>1440.21</v>
      </c>
      <c r="F27" s="1">
        <v>17</v>
      </c>
      <c r="G27" s="1">
        <v>0.05</v>
      </c>
      <c r="H27" s="1">
        <v>45417</v>
      </c>
      <c r="I27" s="1">
        <v>1734.15</v>
      </c>
      <c r="J27" s="1">
        <f t="shared" si="0"/>
        <v>23259.391499999998</v>
      </c>
      <c r="K27" s="1" t="str">
        <f t="shared" si="1"/>
        <v>May-2024</v>
      </c>
      <c r="L27" s="1">
        <f t="shared" si="2"/>
        <v>180197.9785</v>
      </c>
      <c r="M27" s="1" t="str">
        <f t="shared" si="5"/>
        <v>►</v>
      </c>
      <c r="N27" s="1">
        <f t="shared" ca="1" si="3"/>
        <v>46283.658132986115</v>
      </c>
      <c r="O27" s="1">
        <f t="shared" si="4"/>
        <v>4</v>
      </c>
    </row>
    <row r="28" spans="1:15" ht="14.4">
      <c r="A28" s="1" t="s">
        <v>41</v>
      </c>
      <c r="B28" s="1" t="s">
        <v>42</v>
      </c>
      <c r="C28" s="1" t="s">
        <v>43</v>
      </c>
      <c r="D28" s="1" t="s">
        <v>26</v>
      </c>
      <c r="E28" s="1">
        <v>690.44</v>
      </c>
      <c r="F28" s="1">
        <v>8</v>
      </c>
      <c r="G28" s="1">
        <v>0.1</v>
      </c>
      <c r="H28" s="1">
        <v>45418</v>
      </c>
      <c r="I28" s="1">
        <v>336.86</v>
      </c>
      <c r="J28" s="1">
        <f t="shared" si="0"/>
        <v>4971.1680000000006</v>
      </c>
      <c r="K28" s="1" t="str">
        <f t="shared" si="1"/>
        <v>May-2024</v>
      </c>
      <c r="L28" s="1">
        <f t="shared" si="2"/>
        <v>180197.9785</v>
      </c>
      <c r="M28" s="1" t="str">
        <f t="shared" si="5"/>
        <v>►</v>
      </c>
      <c r="N28" s="1">
        <f t="shared" ca="1" si="3"/>
        <v>46283.658132986115</v>
      </c>
      <c r="O28" s="1">
        <f t="shared" si="4"/>
        <v>54</v>
      </c>
    </row>
    <row r="29" spans="1:15" ht="14.4">
      <c r="A29" s="1" t="s">
        <v>48</v>
      </c>
      <c r="B29" s="1" t="s">
        <v>49</v>
      </c>
      <c r="C29" s="1" t="s">
        <v>43</v>
      </c>
      <c r="D29" s="1" t="s">
        <v>30</v>
      </c>
      <c r="E29" s="1">
        <v>1473.73</v>
      </c>
      <c r="F29" s="1">
        <v>3</v>
      </c>
      <c r="G29" s="1">
        <v>0.1</v>
      </c>
      <c r="H29" s="1">
        <v>45418</v>
      </c>
      <c r="I29" s="1">
        <v>268.5</v>
      </c>
      <c r="J29" s="1">
        <f t="shared" si="0"/>
        <v>3979.0710000000004</v>
      </c>
      <c r="K29" s="1" t="str">
        <f t="shared" si="1"/>
        <v>May-2024</v>
      </c>
      <c r="L29" s="1">
        <f t="shared" si="2"/>
        <v>180197.9785</v>
      </c>
      <c r="M29" s="1" t="str">
        <f t="shared" si="5"/>
        <v>►</v>
      </c>
      <c r="N29" s="1">
        <f t="shared" ca="1" si="3"/>
        <v>46283.658132986115</v>
      </c>
      <c r="O29" s="1">
        <f t="shared" si="4"/>
        <v>61</v>
      </c>
    </row>
    <row r="30" spans="1:15" ht="14.4">
      <c r="A30" s="1" t="s">
        <v>16</v>
      </c>
      <c r="B30" s="1" t="s">
        <v>17</v>
      </c>
      <c r="C30" s="1" t="s">
        <v>18</v>
      </c>
      <c r="D30" s="1" t="s">
        <v>19</v>
      </c>
      <c r="E30" s="1">
        <v>992.7</v>
      </c>
      <c r="F30" s="1">
        <v>10</v>
      </c>
      <c r="G30" s="1">
        <v>0.15</v>
      </c>
      <c r="H30" s="1">
        <v>45419</v>
      </c>
      <c r="I30" s="1">
        <v>505.94</v>
      </c>
      <c r="J30" s="1">
        <f t="shared" si="0"/>
        <v>8437.9499999999989</v>
      </c>
      <c r="K30" s="1" t="str">
        <f t="shared" si="1"/>
        <v>May-2024</v>
      </c>
      <c r="L30" s="1">
        <f t="shared" si="2"/>
        <v>180197.9785</v>
      </c>
      <c r="M30" s="1" t="str">
        <f t="shared" si="5"/>
        <v>►</v>
      </c>
      <c r="N30" s="1">
        <f t="shared" ca="1" si="3"/>
        <v>46283.658132986115</v>
      </c>
      <c r="O30" s="1">
        <f t="shared" si="4"/>
        <v>31</v>
      </c>
    </row>
    <row r="31" spans="1:15" ht="14.4">
      <c r="A31" s="1" t="s">
        <v>54</v>
      </c>
      <c r="B31" s="1" t="s">
        <v>55</v>
      </c>
      <c r="C31" s="1" t="s">
        <v>25</v>
      </c>
      <c r="D31" s="1" t="s">
        <v>30</v>
      </c>
      <c r="E31" s="1">
        <v>466.73</v>
      </c>
      <c r="F31" s="1">
        <v>9</v>
      </c>
      <c r="G31" s="1">
        <v>0.1</v>
      </c>
      <c r="H31" s="1">
        <v>45420</v>
      </c>
      <c r="I31" s="1">
        <v>279.87</v>
      </c>
      <c r="J31" s="1">
        <f t="shared" si="0"/>
        <v>3780.5129999999999</v>
      </c>
      <c r="K31" s="1" t="str">
        <f t="shared" si="1"/>
        <v>May-2024</v>
      </c>
      <c r="L31" s="1">
        <f t="shared" si="2"/>
        <v>180197.9785</v>
      </c>
      <c r="M31" s="1" t="str">
        <f t="shared" si="5"/>
        <v>►</v>
      </c>
      <c r="N31" s="1">
        <f t="shared" ca="1" si="3"/>
        <v>46283.658132986115</v>
      </c>
      <c r="O31" s="1">
        <f t="shared" si="4"/>
        <v>62</v>
      </c>
    </row>
    <row r="32" spans="1:15" ht="14.4">
      <c r="A32" s="1" t="s">
        <v>44</v>
      </c>
      <c r="B32" s="1" t="s">
        <v>45</v>
      </c>
      <c r="C32" s="1" t="s">
        <v>43</v>
      </c>
      <c r="D32" s="1" t="s">
        <v>35</v>
      </c>
      <c r="E32" s="1">
        <v>624.52</v>
      </c>
      <c r="F32" s="1">
        <v>12</v>
      </c>
      <c r="G32" s="1">
        <v>0</v>
      </c>
      <c r="H32" s="1">
        <v>45421</v>
      </c>
      <c r="I32" s="1">
        <v>560.80999999999995</v>
      </c>
      <c r="J32" s="1">
        <f t="shared" si="0"/>
        <v>7494.24</v>
      </c>
      <c r="K32" s="1" t="str">
        <f t="shared" si="1"/>
        <v>May-2024</v>
      </c>
      <c r="L32" s="1">
        <f t="shared" si="2"/>
        <v>180197.9785</v>
      </c>
      <c r="M32" s="1" t="str">
        <f t="shared" si="5"/>
        <v>►</v>
      </c>
      <c r="N32" s="1">
        <f t="shared" ca="1" si="3"/>
        <v>46283.658132986115</v>
      </c>
      <c r="O32" s="1">
        <f t="shared" si="4"/>
        <v>37</v>
      </c>
    </row>
    <row r="33" spans="1:15" ht="14.4">
      <c r="A33" s="1" t="s">
        <v>51</v>
      </c>
      <c r="B33" s="1" t="s">
        <v>34</v>
      </c>
      <c r="C33" s="1" t="s">
        <v>29</v>
      </c>
      <c r="D33" s="1" t="s">
        <v>19</v>
      </c>
      <c r="E33" s="1">
        <v>853.28</v>
      </c>
      <c r="F33" s="1">
        <v>12</v>
      </c>
      <c r="G33" s="1">
        <v>0</v>
      </c>
      <c r="H33" s="1">
        <v>45423</v>
      </c>
      <c r="I33" s="1">
        <v>426.6</v>
      </c>
      <c r="J33" s="1">
        <f t="shared" si="0"/>
        <v>10239.36</v>
      </c>
      <c r="K33" s="1" t="str">
        <f t="shared" si="1"/>
        <v>May-2024</v>
      </c>
      <c r="L33" s="1">
        <f t="shared" si="2"/>
        <v>180197.9785</v>
      </c>
      <c r="M33" s="1" t="str">
        <f t="shared" si="5"/>
        <v>►</v>
      </c>
      <c r="N33" s="1">
        <f t="shared" ca="1" si="3"/>
        <v>46283.658132986115</v>
      </c>
      <c r="O33" s="1">
        <f t="shared" si="4"/>
        <v>26</v>
      </c>
    </row>
    <row r="34" spans="1:15" ht="14.4">
      <c r="A34" s="1" t="s">
        <v>20</v>
      </c>
      <c r="B34" s="1" t="s">
        <v>56</v>
      </c>
      <c r="C34" s="1" t="s">
        <v>18</v>
      </c>
      <c r="D34" s="1" t="s">
        <v>22</v>
      </c>
      <c r="E34" s="1">
        <v>1455.85</v>
      </c>
      <c r="F34" s="1">
        <v>16</v>
      </c>
      <c r="G34" s="1">
        <v>0.05</v>
      </c>
      <c r="H34" s="1">
        <v>45425</v>
      </c>
      <c r="I34" s="1">
        <v>861.43</v>
      </c>
      <c r="J34" s="1">
        <f t="shared" si="0"/>
        <v>22128.92</v>
      </c>
      <c r="K34" s="1" t="str">
        <f t="shared" si="1"/>
        <v>May-2024</v>
      </c>
      <c r="L34" s="1">
        <f t="shared" si="2"/>
        <v>180197.9785</v>
      </c>
      <c r="M34" s="1" t="str">
        <f t="shared" si="5"/>
        <v>►</v>
      </c>
      <c r="N34" s="1">
        <f t="shared" ca="1" si="3"/>
        <v>46283.658132986115</v>
      </c>
      <c r="O34" s="1">
        <f t="shared" si="4"/>
        <v>6</v>
      </c>
    </row>
    <row r="35" spans="1:15" ht="14.4">
      <c r="A35" s="1" t="s">
        <v>52</v>
      </c>
      <c r="B35" s="1" t="s">
        <v>53</v>
      </c>
      <c r="C35" s="1" t="s">
        <v>38</v>
      </c>
      <c r="D35" s="1" t="s">
        <v>35</v>
      </c>
      <c r="E35" s="1">
        <v>763.94</v>
      </c>
      <c r="F35" s="1">
        <v>2</v>
      </c>
      <c r="G35" s="1">
        <v>0</v>
      </c>
      <c r="H35" s="1">
        <v>45425</v>
      </c>
      <c r="I35" s="1">
        <v>62.61</v>
      </c>
      <c r="J35" s="1">
        <f t="shared" ref="J35:J66" si="6">E35*F35*(1-G35)</f>
        <v>1527.88</v>
      </c>
      <c r="K35" s="1" t="str">
        <f t="shared" ref="K35:K66" si="7">TEXT(H35,"mmm-yyyy")</f>
        <v>May-2024</v>
      </c>
      <c r="L35" s="1">
        <f t="shared" ref="L35:L66" si="8">SUMIFS($J:$J,$K:$K,K35)</f>
        <v>180197.9785</v>
      </c>
      <c r="M35" s="1" t="str">
        <f t="shared" si="5"/>
        <v>►</v>
      </c>
      <c r="N35" s="1">
        <f t="shared" ref="N35:N66" ca="1" si="9">NOW()</f>
        <v>46283.658132986115</v>
      </c>
      <c r="O35" s="1">
        <f t="shared" ref="O35:O66" si="10">RANK(J35,$J$3:$J$82,0)</f>
        <v>77</v>
      </c>
    </row>
    <row r="36" spans="1:15" ht="14.4">
      <c r="A36" s="1" t="s">
        <v>41</v>
      </c>
      <c r="B36" s="1" t="s">
        <v>42</v>
      </c>
      <c r="C36" s="1" t="s">
        <v>43</v>
      </c>
      <c r="D36" s="1" t="s">
        <v>19</v>
      </c>
      <c r="E36" s="1">
        <v>1200.3499999999999</v>
      </c>
      <c r="F36" s="1">
        <v>5</v>
      </c>
      <c r="G36" s="1">
        <v>0.2</v>
      </c>
      <c r="H36" s="1">
        <v>45426</v>
      </c>
      <c r="I36" s="1">
        <v>345.85</v>
      </c>
      <c r="J36" s="1">
        <f t="shared" si="6"/>
        <v>4801.4000000000005</v>
      </c>
      <c r="K36" s="1" t="str">
        <f t="shared" si="7"/>
        <v>May-2024</v>
      </c>
      <c r="L36" s="1">
        <f t="shared" si="8"/>
        <v>180197.9785</v>
      </c>
      <c r="M36" s="1" t="str">
        <f t="shared" ref="M36:M67" si="11">IF(L36&gt;L35,"▲",IF(L36&lt;L35,"▼","►"))</f>
        <v>►</v>
      </c>
      <c r="N36" s="1">
        <f t="shared" ca="1" si="9"/>
        <v>46283.658132986115</v>
      </c>
      <c r="O36" s="1">
        <f t="shared" si="10"/>
        <v>56</v>
      </c>
    </row>
    <row r="37" spans="1:15" ht="14.4">
      <c r="A37" s="1" t="s">
        <v>20</v>
      </c>
      <c r="B37" s="1" t="s">
        <v>21</v>
      </c>
      <c r="C37" s="1" t="s">
        <v>18</v>
      </c>
      <c r="D37" s="1" t="s">
        <v>35</v>
      </c>
      <c r="E37" s="1">
        <v>941.48</v>
      </c>
      <c r="F37" s="1">
        <v>7</v>
      </c>
      <c r="G37" s="1">
        <v>0</v>
      </c>
      <c r="H37" s="1">
        <v>45428</v>
      </c>
      <c r="I37" s="1">
        <v>386.91</v>
      </c>
      <c r="J37" s="1">
        <f t="shared" si="6"/>
        <v>6590.3600000000006</v>
      </c>
      <c r="K37" s="1" t="str">
        <f t="shared" si="7"/>
        <v>May-2024</v>
      </c>
      <c r="L37" s="1">
        <f t="shared" si="8"/>
        <v>180197.9785</v>
      </c>
      <c r="M37" s="1" t="str">
        <f t="shared" si="11"/>
        <v>►</v>
      </c>
      <c r="N37" s="1">
        <f t="shared" ca="1" si="9"/>
        <v>46283.658132986115</v>
      </c>
      <c r="O37" s="1">
        <f t="shared" si="10"/>
        <v>43</v>
      </c>
    </row>
    <row r="38" spans="1:15" ht="14.4">
      <c r="A38" s="1" t="s">
        <v>23</v>
      </c>
      <c r="B38" s="1" t="s">
        <v>24</v>
      </c>
      <c r="C38" s="1" t="s">
        <v>25</v>
      </c>
      <c r="D38" s="1" t="s">
        <v>30</v>
      </c>
      <c r="E38" s="1">
        <v>844.73</v>
      </c>
      <c r="F38" s="1">
        <v>11</v>
      </c>
      <c r="G38" s="1">
        <v>0.15</v>
      </c>
      <c r="H38" s="1">
        <v>45432</v>
      </c>
      <c r="I38" s="1">
        <v>635.61</v>
      </c>
      <c r="J38" s="1">
        <f t="shared" si="6"/>
        <v>7898.2255000000005</v>
      </c>
      <c r="K38" s="1" t="str">
        <f t="shared" si="7"/>
        <v>May-2024</v>
      </c>
      <c r="L38" s="1">
        <f t="shared" si="8"/>
        <v>180197.9785</v>
      </c>
      <c r="M38" s="1" t="str">
        <f t="shared" si="11"/>
        <v>►</v>
      </c>
      <c r="N38" s="1">
        <f t="shared" ca="1" si="9"/>
        <v>46283.658132986115</v>
      </c>
      <c r="O38" s="1">
        <f t="shared" si="10"/>
        <v>35</v>
      </c>
    </row>
    <row r="39" spans="1:15" ht="14.4">
      <c r="A39" s="1" t="s">
        <v>27</v>
      </c>
      <c r="B39" s="1" t="s">
        <v>28</v>
      </c>
      <c r="C39" s="1" t="s">
        <v>29</v>
      </c>
      <c r="D39" s="1" t="s">
        <v>19</v>
      </c>
      <c r="E39" s="1">
        <v>1241.93</v>
      </c>
      <c r="F39" s="1">
        <v>9</v>
      </c>
      <c r="G39" s="1">
        <v>0.1</v>
      </c>
      <c r="H39" s="1">
        <v>45434</v>
      </c>
      <c r="I39" s="1">
        <v>486.94</v>
      </c>
      <c r="J39" s="1">
        <f t="shared" si="6"/>
        <v>10059.633000000002</v>
      </c>
      <c r="K39" s="1" t="str">
        <f t="shared" si="7"/>
        <v>May-2024</v>
      </c>
      <c r="L39" s="1">
        <f t="shared" si="8"/>
        <v>180197.9785</v>
      </c>
      <c r="M39" s="1" t="str">
        <f t="shared" si="11"/>
        <v>►</v>
      </c>
      <c r="N39" s="1">
        <f t="shared" ca="1" si="9"/>
        <v>46283.658132986115</v>
      </c>
      <c r="O39" s="1">
        <f t="shared" si="10"/>
        <v>27</v>
      </c>
    </row>
    <row r="40" spans="1:15" ht="14.4">
      <c r="A40" s="1" t="s">
        <v>52</v>
      </c>
      <c r="B40" s="1" t="s">
        <v>53</v>
      </c>
      <c r="C40" s="1" t="s">
        <v>38</v>
      </c>
      <c r="D40" s="1" t="s">
        <v>30</v>
      </c>
      <c r="E40" s="1">
        <v>698.25</v>
      </c>
      <c r="F40" s="1">
        <v>4</v>
      </c>
      <c r="G40" s="1">
        <v>0.1</v>
      </c>
      <c r="H40" s="1">
        <v>45436</v>
      </c>
      <c r="I40" s="1">
        <v>164.25</v>
      </c>
      <c r="J40" s="1">
        <f t="shared" si="6"/>
        <v>2513.7000000000003</v>
      </c>
      <c r="K40" s="1" t="str">
        <f t="shared" si="7"/>
        <v>May-2024</v>
      </c>
      <c r="L40" s="1">
        <f t="shared" si="8"/>
        <v>180197.9785</v>
      </c>
      <c r="M40" s="1" t="str">
        <f t="shared" si="11"/>
        <v>►</v>
      </c>
      <c r="N40" s="1">
        <f t="shared" ca="1" si="9"/>
        <v>46283.658132986115</v>
      </c>
      <c r="O40" s="1">
        <f t="shared" si="10"/>
        <v>72</v>
      </c>
    </row>
    <row r="41" spans="1:15" ht="14.4">
      <c r="A41" s="1" t="s">
        <v>33</v>
      </c>
      <c r="B41" s="1" t="s">
        <v>34</v>
      </c>
      <c r="C41" s="1" t="s">
        <v>18</v>
      </c>
      <c r="D41" s="1" t="s">
        <v>22</v>
      </c>
      <c r="E41" s="1">
        <v>352.11</v>
      </c>
      <c r="F41" s="1">
        <v>19</v>
      </c>
      <c r="G41" s="1">
        <v>0.05</v>
      </c>
      <c r="H41" s="1">
        <v>45438</v>
      </c>
      <c r="I41" s="1">
        <v>344.97</v>
      </c>
      <c r="J41" s="1">
        <f t="shared" si="6"/>
        <v>6355.5855000000001</v>
      </c>
      <c r="K41" s="1" t="str">
        <f t="shared" si="7"/>
        <v>May-2024</v>
      </c>
      <c r="L41" s="1">
        <f t="shared" si="8"/>
        <v>180197.9785</v>
      </c>
      <c r="M41" s="1" t="str">
        <f t="shared" si="11"/>
        <v>►</v>
      </c>
      <c r="N41" s="1">
        <f t="shared" ca="1" si="9"/>
        <v>46283.658132986115</v>
      </c>
      <c r="O41" s="1">
        <f t="shared" si="10"/>
        <v>45</v>
      </c>
    </row>
    <row r="42" spans="1:15" ht="14.4">
      <c r="A42" s="1" t="s">
        <v>44</v>
      </c>
      <c r="B42" s="1" t="s">
        <v>45</v>
      </c>
      <c r="C42" s="1" t="s">
        <v>43</v>
      </c>
      <c r="D42" s="1" t="s">
        <v>26</v>
      </c>
      <c r="E42" s="1">
        <v>1516.57</v>
      </c>
      <c r="F42" s="1">
        <v>4</v>
      </c>
      <c r="G42" s="1">
        <v>0.05</v>
      </c>
      <c r="H42" s="1">
        <v>45439</v>
      </c>
      <c r="I42" s="1">
        <v>268.43</v>
      </c>
      <c r="J42" s="1">
        <f t="shared" si="6"/>
        <v>5762.9659999999994</v>
      </c>
      <c r="K42" s="1" t="str">
        <f t="shared" si="7"/>
        <v>May-2024</v>
      </c>
      <c r="L42" s="1">
        <f t="shared" si="8"/>
        <v>180197.9785</v>
      </c>
      <c r="M42" s="1" t="str">
        <f t="shared" si="11"/>
        <v>►</v>
      </c>
      <c r="N42" s="1">
        <f t="shared" ca="1" si="9"/>
        <v>46283.658132986115</v>
      </c>
      <c r="O42" s="1">
        <f t="shared" si="10"/>
        <v>48</v>
      </c>
    </row>
    <row r="43" spans="1:15" ht="14.4">
      <c r="A43" s="1" t="s">
        <v>20</v>
      </c>
      <c r="B43" s="1" t="s">
        <v>21</v>
      </c>
      <c r="C43" s="1" t="s">
        <v>18</v>
      </c>
      <c r="D43" s="1" t="s">
        <v>22</v>
      </c>
      <c r="E43" s="1">
        <v>836.85</v>
      </c>
      <c r="F43" s="1">
        <v>2</v>
      </c>
      <c r="G43" s="1">
        <v>0.2</v>
      </c>
      <c r="H43" s="1">
        <v>45440</v>
      </c>
      <c r="I43" s="1">
        <v>75.900000000000006</v>
      </c>
      <c r="J43" s="1">
        <f t="shared" si="6"/>
        <v>1338.96</v>
      </c>
      <c r="K43" s="1" t="str">
        <f t="shared" si="7"/>
        <v>May-2024</v>
      </c>
      <c r="L43" s="1">
        <f t="shared" si="8"/>
        <v>180197.9785</v>
      </c>
      <c r="M43" s="1" t="str">
        <f t="shared" si="11"/>
        <v>►</v>
      </c>
      <c r="N43" s="1">
        <f t="shared" ca="1" si="9"/>
        <v>46283.658132986115</v>
      </c>
      <c r="O43" s="1">
        <f t="shared" si="10"/>
        <v>78</v>
      </c>
    </row>
    <row r="44" spans="1:15" ht="14.4">
      <c r="A44" s="1" t="s">
        <v>41</v>
      </c>
      <c r="B44" s="1" t="s">
        <v>42</v>
      </c>
      <c r="C44" s="1" t="s">
        <v>43</v>
      </c>
      <c r="D44" s="1" t="s">
        <v>35</v>
      </c>
      <c r="E44" s="1">
        <v>678.43</v>
      </c>
      <c r="F44" s="1">
        <v>15</v>
      </c>
      <c r="G44" s="1">
        <v>0.2</v>
      </c>
      <c r="H44" s="1">
        <v>45443</v>
      </c>
      <c r="I44" s="1">
        <v>412.2</v>
      </c>
      <c r="J44" s="1">
        <f t="shared" si="6"/>
        <v>8141.16</v>
      </c>
      <c r="K44" s="1" t="str">
        <f t="shared" si="7"/>
        <v>May-2024</v>
      </c>
      <c r="L44" s="1">
        <f t="shared" si="8"/>
        <v>180197.9785</v>
      </c>
      <c r="M44" s="1" t="str">
        <f t="shared" si="11"/>
        <v>►</v>
      </c>
      <c r="N44" s="1">
        <f t="shared" ca="1" si="9"/>
        <v>46283.658132986115</v>
      </c>
      <c r="O44" s="1">
        <f t="shared" si="10"/>
        <v>34</v>
      </c>
    </row>
    <row r="45" spans="1:15" ht="14.4">
      <c r="A45" s="1" t="s">
        <v>31</v>
      </c>
      <c r="B45" s="1" t="s">
        <v>32</v>
      </c>
      <c r="C45" s="1" t="s">
        <v>25</v>
      </c>
      <c r="D45" s="1" t="s">
        <v>26</v>
      </c>
      <c r="E45" s="1">
        <v>435.65</v>
      </c>
      <c r="F45" s="1">
        <v>4</v>
      </c>
      <c r="G45" s="1">
        <v>0.05</v>
      </c>
      <c r="H45" s="1">
        <v>45443</v>
      </c>
      <c r="I45" s="1">
        <v>62.72</v>
      </c>
      <c r="J45" s="1">
        <f t="shared" si="6"/>
        <v>1655.4699999999998</v>
      </c>
      <c r="K45" s="1" t="str">
        <f t="shared" si="7"/>
        <v>May-2024</v>
      </c>
      <c r="L45" s="1">
        <f t="shared" si="8"/>
        <v>180197.9785</v>
      </c>
      <c r="M45" s="1" t="str">
        <f t="shared" si="11"/>
        <v>►</v>
      </c>
      <c r="N45" s="1">
        <f t="shared" ca="1" si="9"/>
        <v>46283.658132986115</v>
      </c>
      <c r="O45" s="1">
        <f t="shared" si="10"/>
        <v>76</v>
      </c>
    </row>
    <row r="46" spans="1:15" ht="14.4">
      <c r="A46" s="1" t="s">
        <v>39</v>
      </c>
      <c r="B46" s="1" t="s">
        <v>40</v>
      </c>
      <c r="C46" s="1" t="s">
        <v>29</v>
      </c>
      <c r="D46" s="1" t="s">
        <v>26</v>
      </c>
      <c r="E46" s="1">
        <v>1247.93</v>
      </c>
      <c r="F46" s="1">
        <v>14</v>
      </c>
      <c r="G46" s="1">
        <v>0.15</v>
      </c>
      <c r="H46" s="1">
        <v>45443</v>
      </c>
      <c r="I46" s="1">
        <v>659.66</v>
      </c>
      <c r="J46" s="1">
        <f t="shared" si="6"/>
        <v>14850.367</v>
      </c>
      <c r="K46" s="1" t="str">
        <f t="shared" si="7"/>
        <v>May-2024</v>
      </c>
      <c r="L46" s="1">
        <f t="shared" si="8"/>
        <v>180197.9785</v>
      </c>
      <c r="M46" s="1" t="str">
        <f t="shared" si="11"/>
        <v>►</v>
      </c>
      <c r="N46" s="1">
        <f t="shared" ca="1" si="9"/>
        <v>46283.658132986115</v>
      </c>
      <c r="O46" s="1">
        <f t="shared" si="10"/>
        <v>15</v>
      </c>
    </row>
    <row r="47" spans="1:15" ht="14.4">
      <c r="A47" s="1" t="s">
        <v>41</v>
      </c>
      <c r="B47" s="1" t="s">
        <v>42</v>
      </c>
      <c r="C47" s="1" t="s">
        <v>43</v>
      </c>
      <c r="D47" s="1" t="s">
        <v>19</v>
      </c>
      <c r="E47" s="1">
        <v>1561.25</v>
      </c>
      <c r="F47" s="1">
        <v>9</v>
      </c>
      <c r="G47" s="1">
        <v>0.05</v>
      </c>
      <c r="H47" s="1">
        <v>45444</v>
      </c>
      <c r="I47" s="1">
        <v>762.73</v>
      </c>
      <c r="J47" s="1">
        <f t="shared" si="6"/>
        <v>13348.6875</v>
      </c>
      <c r="K47" s="1" t="str">
        <f t="shared" si="7"/>
        <v>Jun-2024</v>
      </c>
      <c r="L47" s="1">
        <f t="shared" si="8"/>
        <v>175697.72900000002</v>
      </c>
      <c r="M47" s="1" t="str">
        <f t="shared" si="11"/>
        <v>▼</v>
      </c>
      <c r="N47" s="1">
        <f t="shared" ca="1" si="9"/>
        <v>46283.658132986115</v>
      </c>
      <c r="O47" s="1">
        <f t="shared" si="10"/>
        <v>19</v>
      </c>
    </row>
    <row r="48" spans="1:15" ht="14.4">
      <c r="A48" s="1" t="s">
        <v>46</v>
      </c>
      <c r="B48" s="1" t="s">
        <v>47</v>
      </c>
      <c r="C48" s="1" t="s">
        <v>18</v>
      </c>
      <c r="D48" s="1" t="s">
        <v>35</v>
      </c>
      <c r="E48" s="1">
        <v>383.17</v>
      </c>
      <c r="F48" s="1">
        <v>8</v>
      </c>
      <c r="G48" s="1">
        <v>0.2</v>
      </c>
      <c r="H48" s="1">
        <v>45445</v>
      </c>
      <c r="I48" s="1">
        <v>105.89</v>
      </c>
      <c r="J48" s="1">
        <f t="shared" si="6"/>
        <v>2452.288</v>
      </c>
      <c r="K48" s="1" t="str">
        <f t="shared" si="7"/>
        <v>Jun-2024</v>
      </c>
      <c r="L48" s="1">
        <f t="shared" si="8"/>
        <v>175697.72900000002</v>
      </c>
      <c r="M48" s="1" t="str">
        <f t="shared" si="11"/>
        <v>►</v>
      </c>
      <c r="N48" s="1">
        <f t="shared" ca="1" si="9"/>
        <v>46283.658132986115</v>
      </c>
      <c r="O48" s="1">
        <f t="shared" si="10"/>
        <v>73</v>
      </c>
    </row>
    <row r="49" spans="1:15" ht="14.4">
      <c r="A49" s="1" t="s">
        <v>41</v>
      </c>
      <c r="B49" s="1" t="s">
        <v>42</v>
      </c>
      <c r="C49" s="1" t="s">
        <v>43</v>
      </c>
      <c r="D49" s="1" t="s">
        <v>19</v>
      </c>
      <c r="E49" s="1">
        <v>1393.24</v>
      </c>
      <c r="F49" s="1">
        <v>19</v>
      </c>
      <c r="G49" s="1">
        <v>0.05</v>
      </c>
      <c r="H49" s="1">
        <v>45447</v>
      </c>
      <c r="I49" s="1">
        <v>962.83</v>
      </c>
      <c r="J49" s="1">
        <f t="shared" si="6"/>
        <v>25147.982</v>
      </c>
      <c r="K49" s="1" t="str">
        <f t="shared" si="7"/>
        <v>Jun-2024</v>
      </c>
      <c r="L49" s="1">
        <f t="shared" si="8"/>
        <v>175697.72900000002</v>
      </c>
      <c r="M49" s="1" t="str">
        <f t="shared" si="11"/>
        <v>►</v>
      </c>
      <c r="N49" s="1">
        <f t="shared" ca="1" si="9"/>
        <v>46283.658132986115</v>
      </c>
      <c r="O49" s="1">
        <f t="shared" si="10"/>
        <v>2</v>
      </c>
    </row>
    <row r="50" spans="1:15" ht="14.4">
      <c r="A50" s="1" t="s">
        <v>48</v>
      </c>
      <c r="B50" s="1" t="s">
        <v>49</v>
      </c>
      <c r="C50" s="1" t="s">
        <v>43</v>
      </c>
      <c r="D50" s="1" t="s">
        <v>30</v>
      </c>
      <c r="E50" s="1">
        <v>612.73</v>
      </c>
      <c r="F50" s="1">
        <v>12</v>
      </c>
      <c r="G50" s="1">
        <v>0.15</v>
      </c>
      <c r="H50" s="1">
        <v>45448</v>
      </c>
      <c r="I50" s="1">
        <v>342.81</v>
      </c>
      <c r="J50" s="1">
        <f t="shared" si="6"/>
        <v>6249.8460000000005</v>
      </c>
      <c r="K50" s="1" t="str">
        <f t="shared" si="7"/>
        <v>Jun-2024</v>
      </c>
      <c r="L50" s="1">
        <f t="shared" si="8"/>
        <v>175697.72900000002</v>
      </c>
      <c r="M50" s="1" t="str">
        <f t="shared" si="11"/>
        <v>►</v>
      </c>
      <c r="N50" s="1">
        <f t="shared" ca="1" si="9"/>
        <v>46283.658132986115</v>
      </c>
      <c r="O50" s="1">
        <f t="shared" si="10"/>
        <v>47</v>
      </c>
    </row>
    <row r="51" spans="1:15" ht="14.4">
      <c r="A51" s="1" t="s">
        <v>50</v>
      </c>
      <c r="B51" s="1" t="s">
        <v>40</v>
      </c>
      <c r="C51" s="1" t="s">
        <v>29</v>
      </c>
      <c r="D51" s="1" t="s">
        <v>35</v>
      </c>
      <c r="E51" s="1">
        <v>907.39</v>
      </c>
      <c r="F51" s="1">
        <v>7</v>
      </c>
      <c r="G51" s="1">
        <v>0.15</v>
      </c>
      <c r="H51" s="1">
        <v>45449</v>
      </c>
      <c r="I51" s="1">
        <v>244.14</v>
      </c>
      <c r="J51" s="1">
        <f t="shared" si="6"/>
        <v>5398.9704999999994</v>
      </c>
      <c r="K51" s="1" t="str">
        <f t="shared" si="7"/>
        <v>Jun-2024</v>
      </c>
      <c r="L51" s="1">
        <f t="shared" si="8"/>
        <v>175697.72900000002</v>
      </c>
      <c r="M51" s="1" t="str">
        <f t="shared" si="11"/>
        <v>►</v>
      </c>
      <c r="N51" s="1">
        <f t="shared" ca="1" si="9"/>
        <v>46283.658132986115</v>
      </c>
      <c r="O51" s="1">
        <f t="shared" si="10"/>
        <v>51</v>
      </c>
    </row>
    <row r="52" spans="1:15" ht="14.4">
      <c r="A52" s="1" t="s">
        <v>50</v>
      </c>
      <c r="B52" s="1" t="s">
        <v>40</v>
      </c>
      <c r="C52" s="1" t="s">
        <v>29</v>
      </c>
      <c r="D52" s="1" t="s">
        <v>35</v>
      </c>
      <c r="E52" s="1">
        <v>429.41</v>
      </c>
      <c r="F52" s="1">
        <v>14</v>
      </c>
      <c r="G52" s="1">
        <v>0.2</v>
      </c>
      <c r="H52" s="1">
        <v>45451</v>
      </c>
      <c r="I52" s="1">
        <v>285.81</v>
      </c>
      <c r="J52" s="1">
        <f t="shared" si="6"/>
        <v>4809.3920000000007</v>
      </c>
      <c r="K52" s="1" t="str">
        <f t="shared" si="7"/>
        <v>Jun-2024</v>
      </c>
      <c r="L52" s="1">
        <f t="shared" si="8"/>
        <v>175697.72900000002</v>
      </c>
      <c r="M52" s="1" t="str">
        <f t="shared" si="11"/>
        <v>►</v>
      </c>
      <c r="N52" s="1">
        <f t="shared" ca="1" si="9"/>
        <v>46283.658132986115</v>
      </c>
      <c r="O52" s="1">
        <f t="shared" si="10"/>
        <v>55</v>
      </c>
    </row>
    <row r="53" spans="1:15" ht="14.4">
      <c r="A53" s="1" t="s">
        <v>41</v>
      </c>
      <c r="B53" s="1" t="s">
        <v>42</v>
      </c>
      <c r="C53" s="1" t="s">
        <v>43</v>
      </c>
      <c r="D53" s="1" t="s">
        <v>22</v>
      </c>
      <c r="E53" s="1">
        <v>525.23</v>
      </c>
      <c r="F53" s="1">
        <v>7</v>
      </c>
      <c r="G53" s="1">
        <v>0.1</v>
      </c>
      <c r="H53" s="1">
        <v>45451</v>
      </c>
      <c r="I53" s="1">
        <v>148</v>
      </c>
      <c r="J53" s="1">
        <f t="shared" si="6"/>
        <v>3308.9490000000001</v>
      </c>
      <c r="K53" s="1" t="str">
        <f t="shared" si="7"/>
        <v>Jun-2024</v>
      </c>
      <c r="L53" s="1">
        <f t="shared" si="8"/>
        <v>175697.72900000002</v>
      </c>
      <c r="M53" s="1" t="str">
        <f t="shared" si="11"/>
        <v>►</v>
      </c>
      <c r="N53" s="1">
        <f t="shared" ca="1" si="9"/>
        <v>46283.658132986115</v>
      </c>
      <c r="O53" s="1">
        <f t="shared" si="10"/>
        <v>64</v>
      </c>
    </row>
    <row r="54" spans="1:15" ht="14.4">
      <c r="A54" s="1" t="s">
        <v>20</v>
      </c>
      <c r="B54" s="1" t="s">
        <v>21</v>
      </c>
      <c r="C54" s="1" t="s">
        <v>18</v>
      </c>
      <c r="D54" s="1" t="s">
        <v>19</v>
      </c>
      <c r="E54" s="1">
        <v>868.58</v>
      </c>
      <c r="F54" s="1">
        <v>12</v>
      </c>
      <c r="G54" s="1">
        <v>0.2</v>
      </c>
      <c r="H54" s="1">
        <v>45451</v>
      </c>
      <c r="I54" s="1">
        <v>445.78</v>
      </c>
      <c r="J54" s="1">
        <f t="shared" si="6"/>
        <v>8338.3680000000004</v>
      </c>
      <c r="K54" s="1" t="str">
        <f t="shared" si="7"/>
        <v>Jun-2024</v>
      </c>
      <c r="L54" s="1">
        <f t="shared" si="8"/>
        <v>175697.72900000002</v>
      </c>
      <c r="M54" s="1" t="str">
        <f t="shared" si="11"/>
        <v>►</v>
      </c>
      <c r="N54" s="1">
        <f t="shared" ca="1" si="9"/>
        <v>46283.658132986115</v>
      </c>
      <c r="O54" s="1">
        <f t="shared" si="10"/>
        <v>32</v>
      </c>
    </row>
    <row r="55" spans="1:15" ht="14.4">
      <c r="A55" s="1" t="s">
        <v>16</v>
      </c>
      <c r="B55" s="1" t="s">
        <v>17</v>
      </c>
      <c r="C55" s="1" t="s">
        <v>18</v>
      </c>
      <c r="D55" s="1" t="s">
        <v>35</v>
      </c>
      <c r="E55" s="1">
        <v>742.39</v>
      </c>
      <c r="F55" s="1">
        <v>5</v>
      </c>
      <c r="G55" s="1">
        <v>0.1</v>
      </c>
      <c r="H55" s="1">
        <v>45456</v>
      </c>
      <c r="I55" s="1">
        <v>159.88</v>
      </c>
      <c r="J55" s="1">
        <f t="shared" si="6"/>
        <v>3340.7550000000001</v>
      </c>
      <c r="K55" s="1" t="str">
        <f t="shared" si="7"/>
        <v>Jun-2024</v>
      </c>
      <c r="L55" s="1">
        <f t="shared" si="8"/>
        <v>175697.72900000002</v>
      </c>
      <c r="M55" s="1" t="str">
        <f t="shared" si="11"/>
        <v>►</v>
      </c>
      <c r="N55" s="1">
        <f t="shared" ca="1" si="9"/>
        <v>46283.658132986115</v>
      </c>
      <c r="O55" s="1">
        <f t="shared" si="10"/>
        <v>63</v>
      </c>
    </row>
    <row r="56" spans="1:15" ht="14.4">
      <c r="A56" s="1" t="s">
        <v>48</v>
      </c>
      <c r="B56" s="1" t="s">
        <v>49</v>
      </c>
      <c r="C56" s="1" t="s">
        <v>43</v>
      </c>
      <c r="D56" s="1" t="s">
        <v>22</v>
      </c>
      <c r="E56" s="1">
        <v>1593.94</v>
      </c>
      <c r="F56" s="1">
        <v>13</v>
      </c>
      <c r="G56" s="1">
        <v>0.15</v>
      </c>
      <c r="H56" s="1">
        <v>45458</v>
      </c>
      <c r="I56" s="1">
        <v>974.73</v>
      </c>
      <c r="J56" s="1">
        <f t="shared" si="6"/>
        <v>17613.037</v>
      </c>
      <c r="K56" s="1" t="str">
        <f t="shared" si="7"/>
        <v>Jun-2024</v>
      </c>
      <c r="L56" s="1">
        <f t="shared" si="8"/>
        <v>175697.72900000002</v>
      </c>
      <c r="M56" s="1" t="str">
        <f t="shared" si="11"/>
        <v>►</v>
      </c>
      <c r="N56" s="1">
        <f t="shared" ca="1" si="9"/>
        <v>46283.658132986115</v>
      </c>
      <c r="O56" s="1">
        <f t="shared" si="10"/>
        <v>11</v>
      </c>
    </row>
    <row r="57" spans="1:15" ht="14.4">
      <c r="A57" s="1" t="s">
        <v>57</v>
      </c>
      <c r="B57" s="1" t="s">
        <v>34</v>
      </c>
      <c r="C57" s="1" t="s">
        <v>18</v>
      </c>
      <c r="D57" s="1" t="s">
        <v>30</v>
      </c>
      <c r="E57" s="1">
        <v>1104.6600000000001</v>
      </c>
      <c r="F57" s="1">
        <v>3</v>
      </c>
      <c r="G57" s="1">
        <v>0.15</v>
      </c>
      <c r="H57" s="1">
        <v>45460</v>
      </c>
      <c r="I57" s="1">
        <v>107.46</v>
      </c>
      <c r="J57" s="1">
        <f t="shared" si="6"/>
        <v>2816.8830000000003</v>
      </c>
      <c r="K57" s="1" t="str">
        <f t="shared" si="7"/>
        <v>Jun-2024</v>
      </c>
      <c r="L57" s="1">
        <f t="shared" si="8"/>
        <v>175697.72900000002</v>
      </c>
      <c r="M57" s="1" t="str">
        <f t="shared" si="11"/>
        <v>►</v>
      </c>
      <c r="N57" s="1">
        <f t="shared" ca="1" si="9"/>
        <v>46283.658132986115</v>
      </c>
      <c r="O57" s="1">
        <f t="shared" si="10"/>
        <v>68</v>
      </c>
    </row>
    <row r="58" spans="1:15" ht="14.4">
      <c r="A58" s="1" t="s">
        <v>31</v>
      </c>
      <c r="B58" s="1" t="s">
        <v>32</v>
      </c>
      <c r="C58" s="1" t="s">
        <v>25</v>
      </c>
      <c r="D58" s="1" t="s">
        <v>19</v>
      </c>
      <c r="E58" s="1">
        <v>922.86</v>
      </c>
      <c r="F58" s="1">
        <v>5</v>
      </c>
      <c r="G58" s="1">
        <v>0</v>
      </c>
      <c r="H58" s="1">
        <v>45460</v>
      </c>
      <c r="I58" s="1">
        <v>197.48</v>
      </c>
      <c r="J58" s="1">
        <f t="shared" si="6"/>
        <v>4614.3</v>
      </c>
      <c r="K58" s="1" t="str">
        <f t="shared" si="7"/>
        <v>Jun-2024</v>
      </c>
      <c r="L58" s="1">
        <f t="shared" si="8"/>
        <v>175697.72900000002</v>
      </c>
      <c r="M58" s="1" t="str">
        <f t="shared" si="11"/>
        <v>►</v>
      </c>
      <c r="N58" s="1">
        <f t="shared" ca="1" si="9"/>
        <v>46283.658132986115</v>
      </c>
      <c r="O58" s="1">
        <f t="shared" si="10"/>
        <v>57</v>
      </c>
    </row>
    <row r="59" spans="1:15" ht="14.4">
      <c r="A59" s="1" t="s">
        <v>46</v>
      </c>
      <c r="B59" s="1" t="s">
        <v>47</v>
      </c>
      <c r="C59" s="1" t="s">
        <v>18</v>
      </c>
      <c r="D59" s="1" t="s">
        <v>35</v>
      </c>
      <c r="E59" s="1">
        <v>598.64</v>
      </c>
      <c r="F59" s="1">
        <v>13</v>
      </c>
      <c r="G59" s="1">
        <v>0.05</v>
      </c>
      <c r="H59" s="1">
        <v>45461</v>
      </c>
      <c r="I59" s="1">
        <v>604.49</v>
      </c>
      <c r="J59" s="1">
        <f t="shared" si="6"/>
        <v>7393.2039999999997</v>
      </c>
      <c r="K59" s="1" t="str">
        <f t="shared" si="7"/>
        <v>Jun-2024</v>
      </c>
      <c r="L59" s="1">
        <f t="shared" si="8"/>
        <v>175697.72900000002</v>
      </c>
      <c r="M59" s="1" t="str">
        <f t="shared" si="11"/>
        <v>►</v>
      </c>
      <c r="N59" s="1">
        <f t="shared" ca="1" si="9"/>
        <v>46283.658132986115</v>
      </c>
      <c r="O59" s="1">
        <f t="shared" si="10"/>
        <v>39</v>
      </c>
    </row>
    <row r="60" spans="1:15" ht="14.4">
      <c r="A60" s="1" t="s">
        <v>31</v>
      </c>
      <c r="B60" s="1" t="s">
        <v>32</v>
      </c>
      <c r="C60" s="1" t="s">
        <v>25</v>
      </c>
      <c r="D60" s="1" t="s">
        <v>35</v>
      </c>
      <c r="E60" s="1">
        <v>1307.29</v>
      </c>
      <c r="F60" s="1">
        <v>6</v>
      </c>
      <c r="G60" s="1">
        <v>0.15</v>
      </c>
      <c r="H60" s="1">
        <v>45462</v>
      </c>
      <c r="I60" s="1">
        <v>268.49</v>
      </c>
      <c r="J60" s="1">
        <f t="shared" si="6"/>
        <v>6667.1790000000001</v>
      </c>
      <c r="K60" s="1" t="str">
        <f t="shared" si="7"/>
        <v>Jun-2024</v>
      </c>
      <c r="L60" s="1">
        <f t="shared" si="8"/>
        <v>175697.72900000002</v>
      </c>
      <c r="M60" s="1" t="str">
        <f t="shared" si="11"/>
        <v>►</v>
      </c>
      <c r="N60" s="1">
        <f t="shared" ca="1" si="9"/>
        <v>46283.658132986115</v>
      </c>
      <c r="O60" s="1">
        <f t="shared" si="10"/>
        <v>42</v>
      </c>
    </row>
    <row r="61" spans="1:15" ht="14.4">
      <c r="A61" s="1" t="s">
        <v>23</v>
      </c>
      <c r="B61" s="1" t="s">
        <v>24</v>
      </c>
      <c r="C61" s="1" t="s">
        <v>25</v>
      </c>
      <c r="D61" s="1" t="s">
        <v>26</v>
      </c>
      <c r="E61" s="1">
        <v>430.03</v>
      </c>
      <c r="F61" s="1">
        <v>2</v>
      </c>
      <c r="G61" s="1">
        <v>0.2</v>
      </c>
      <c r="H61" s="1">
        <v>45462</v>
      </c>
      <c r="I61" s="1">
        <v>30.06</v>
      </c>
      <c r="J61" s="1">
        <f t="shared" si="6"/>
        <v>688.048</v>
      </c>
      <c r="K61" s="1" t="str">
        <f t="shared" si="7"/>
        <v>Jun-2024</v>
      </c>
      <c r="L61" s="1">
        <f t="shared" si="8"/>
        <v>175697.72900000002</v>
      </c>
      <c r="M61" s="1" t="str">
        <f t="shared" si="11"/>
        <v>►</v>
      </c>
      <c r="N61" s="1">
        <f t="shared" ca="1" si="9"/>
        <v>46283.658132986115</v>
      </c>
      <c r="O61" s="1">
        <f t="shared" si="10"/>
        <v>80</v>
      </c>
    </row>
    <row r="62" spans="1:15" ht="14.4">
      <c r="A62" s="1" t="s">
        <v>52</v>
      </c>
      <c r="B62" s="1" t="s">
        <v>53</v>
      </c>
      <c r="C62" s="1" t="s">
        <v>38</v>
      </c>
      <c r="D62" s="1" t="s">
        <v>26</v>
      </c>
      <c r="E62" s="1">
        <v>1119.3900000000001</v>
      </c>
      <c r="F62" s="1">
        <v>11</v>
      </c>
      <c r="G62" s="1">
        <v>0.15</v>
      </c>
      <c r="H62" s="1">
        <v>45462</v>
      </c>
      <c r="I62" s="1">
        <v>789.78</v>
      </c>
      <c r="J62" s="1">
        <f t="shared" si="6"/>
        <v>10466.2965</v>
      </c>
      <c r="K62" s="1" t="str">
        <f t="shared" si="7"/>
        <v>Jun-2024</v>
      </c>
      <c r="L62" s="1">
        <f t="shared" si="8"/>
        <v>175697.72900000002</v>
      </c>
      <c r="M62" s="1" t="str">
        <f t="shared" si="11"/>
        <v>►</v>
      </c>
      <c r="N62" s="1">
        <f t="shared" ca="1" si="9"/>
        <v>46283.658132986115</v>
      </c>
      <c r="O62" s="1">
        <f t="shared" si="10"/>
        <v>25</v>
      </c>
    </row>
    <row r="63" spans="1:15" ht="14.4">
      <c r="A63" s="1" t="s">
        <v>50</v>
      </c>
      <c r="B63" s="1" t="s">
        <v>40</v>
      </c>
      <c r="C63" s="1" t="s">
        <v>29</v>
      </c>
      <c r="D63" s="1" t="s">
        <v>35</v>
      </c>
      <c r="E63" s="1">
        <v>1580.29</v>
      </c>
      <c r="F63" s="1">
        <v>5</v>
      </c>
      <c r="G63" s="1">
        <v>0.15</v>
      </c>
      <c r="H63" s="1">
        <v>45465</v>
      </c>
      <c r="I63" s="1">
        <v>279.27999999999997</v>
      </c>
      <c r="J63" s="1">
        <f t="shared" si="6"/>
        <v>6716.2325000000001</v>
      </c>
      <c r="K63" s="1" t="str">
        <f t="shared" si="7"/>
        <v>Jun-2024</v>
      </c>
      <c r="L63" s="1">
        <f t="shared" si="8"/>
        <v>175697.72900000002</v>
      </c>
      <c r="M63" s="1" t="str">
        <f t="shared" si="11"/>
        <v>►</v>
      </c>
      <c r="N63" s="1">
        <f t="shared" ca="1" si="9"/>
        <v>46283.658132986115</v>
      </c>
      <c r="O63" s="1">
        <f t="shared" si="10"/>
        <v>41</v>
      </c>
    </row>
    <row r="64" spans="1:15" ht="14.4">
      <c r="A64" s="1" t="s">
        <v>44</v>
      </c>
      <c r="B64" s="1" t="s">
        <v>45</v>
      </c>
      <c r="C64" s="1" t="s">
        <v>43</v>
      </c>
      <c r="D64" s="1" t="s">
        <v>35</v>
      </c>
      <c r="E64" s="1">
        <v>1302.45</v>
      </c>
      <c r="F64" s="1">
        <v>18</v>
      </c>
      <c r="G64" s="1">
        <v>0</v>
      </c>
      <c r="H64" s="1">
        <v>45472</v>
      </c>
      <c r="I64" s="1">
        <v>1108.5899999999999</v>
      </c>
      <c r="J64" s="1">
        <f t="shared" si="6"/>
        <v>23444.100000000002</v>
      </c>
      <c r="K64" s="1" t="str">
        <f t="shared" si="7"/>
        <v>Jun-2024</v>
      </c>
      <c r="L64" s="1">
        <f t="shared" si="8"/>
        <v>175697.72900000002</v>
      </c>
      <c r="M64" s="1" t="str">
        <f t="shared" si="11"/>
        <v>►</v>
      </c>
      <c r="N64" s="1">
        <f t="shared" ca="1" si="9"/>
        <v>46283.658132986115</v>
      </c>
      <c r="O64" s="1">
        <f t="shared" si="10"/>
        <v>3</v>
      </c>
    </row>
    <row r="65" spans="1:15" ht="14.4">
      <c r="A65" s="1" t="s">
        <v>23</v>
      </c>
      <c r="B65" s="1" t="s">
        <v>24</v>
      </c>
      <c r="C65" s="1" t="s">
        <v>25</v>
      </c>
      <c r="D65" s="1" t="s">
        <v>30</v>
      </c>
      <c r="E65" s="1">
        <v>1307.27</v>
      </c>
      <c r="F65" s="1">
        <v>18</v>
      </c>
      <c r="G65" s="1">
        <v>0.15</v>
      </c>
      <c r="H65" s="1">
        <v>45472</v>
      </c>
      <c r="I65" s="1">
        <v>883.47</v>
      </c>
      <c r="J65" s="1">
        <f t="shared" si="6"/>
        <v>20001.231</v>
      </c>
      <c r="K65" s="1" t="str">
        <f t="shared" si="7"/>
        <v>Jun-2024</v>
      </c>
      <c r="L65" s="1">
        <f t="shared" si="8"/>
        <v>175697.72900000002</v>
      </c>
      <c r="M65" s="1" t="str">
        <f t="shared" si="11"/>
        <v>►</v>
      </c>
      <c r="N65" s="1">
        <f t="shared" ca="1" si="9"/>
        <v>46283.658132986115</v>
      </c>
      <c r="O65" s="1">
        <f t="shared" si="10"/>
        <v>9</v>
      </c>
    </row>
    <row r="66" spans="1:15" ht="14.4">
      <c r="A66" s="1" t="s">
        <v>44</v>
      </c>
      <c r="B66" s="1" t="s">
        <v>45</v>
      </c>
      <c r="C66" s="1" t="s">
        <v>43</v>
      </c>
      <c r="D66" s="1" t="s">
        <v>35</v>
      </c>
      <c r="E66" s="1">
        <v>960.66</v>
      </c>
      <c r="F66" s="1">
        <v>3</v>
      </c>
      <c r="G66" s="1">
        <v>0</v>
      </c>
      <c r="H66" s="1">
        <v>45473</v>
      </c>
      <c r="I66" s="1">
        <v>155.26</v>
      </c>
      <c r="J66" s="1">
        <f t="shared" si="6"/>
        <v>2881.98</v>
      </c>
      <c r="K66" s="1" t="str">
        <f t="shared" si="7"/>
        <v>Jun-2024</v>
      </c>
      <c r="L66" s="1">
        <f t="shared" si="8"/>
        <v>175697.72900000002</v>
      </c>
      <c r="M66" s="1" t="str">
        <f t="shared" si="11"/>
        <v>►</v>
      </c>
      <c r="N66" s="1">
        <f t="shared" ca="1" si="9"/>
        <v>46283.658132986115</v>
      </c>
      <c r="O66" s="1">
        <f t="shared" si="10"/>
        <v>67</v>
      </c>
    </row>
    <row r="67" spans="1:15" ht="14.4">
      <c r="A67" s="1" t="s">
        <v>27</v>
      </c>
      <c r="B67" s="1" t="s">
        <v>28</v>
      </c>
      <c r="C67" s="1" t="s">
        <v>29</v>
      </c>
      <c r="D67" s="1" t="s">
        <v>30</v>
      </c>
      <c r="E67" s="1">
        <v>553.32000000000005</v>
      </c>
      <c r="F67" s="1">
        <v>13</v>
      </c>
      <c r="G67" s="1">
        <v>0.05</v>
      </c>
      <c r="H67" s="1">
        <v>45477</v>
      </c>
      <c r="I67" s="1">
        <v>311.82</v>
      </c>
      <c r="J67" s="1">
        <f t="shared" ref="J67:J82" si="12">E67*F67*(1-G67)</f>
        <v>6833.5020000000004</v>
      </c>
      <c r="K67" s="1" t="str">
        <f t="shared" ref="K67:K82" si="13">TEXT(H67,"mmm-yyyy")</f>
        <v>Jul-2024</v>
      </c>
      <c r="L67" s="1">
        <f t="shared" ref="L67:L82" si="14">SUMIFS($J:$J,$K:$K,K67)</f>
        <v>159791.046</v>
      </c>
      <c r="M67" s="1" t="str">
        <f t="shared" si="11"/>
        <v>▼</v>
      </c>
      <c r="N67" s="1">
        <f t="shared" ref="N67:N82" ca="1" si="15">NOW()</f>
        <v>46283.658132986115</v>
      </c>
      <c r="O67" s="1">
        <f t="shared" ref="O67:O82" si="16">RANK(J67,$J$3:$J$82,0)</f>
        <v>40</v>
      </c>
    </row>
    <row r="68" spans="1:15" ht="14.4">
      <c r="A68" s="1" t="s">
        <v>39</v>
      </c>
      <c r="B68" s="1" t="s">
        <v>40</v>
      </c>
      <c r="C68" s="1" t="s">
        <v>29</v>
      </c>
      <c r="D68" s="1" t="s">
        <v>35</v>
      </c>
      <c r="E68" s="1">
        <v>1003.48</v>
      </c>
      <c r="F68" s="1">
        <v>10</v>
      </c>
      <c r="G68" s="1">
        <v>0.05</v>
      </c>
      <c r="H68" s="1">
        <v>45477</v>
      </c>
      <c r="I68" s="1">
        <v>660.39</v>
      </c>
      <c r="J68" s="1">
        <f t="shared" si="12"/>
        <v>9533.06</v>
      </c>
      <c r="K68" s="1" t="str">
        <f t="shared" si="13"/>
        <v>Jul-2024</v>
      </c>
      <c r="L68" s="1">
        <f t="shared" si="14"/>
        <v>159791.046</v>
      </c>
      <c r="M68" s="1" t="str">
        <f t="shared" ref="M68:M82" si="17">IF(L68&gt;L67,"▲",IF(L68&lt;L67,"▼","►"))</f>
        <v>►</v>
      </c>
      <c r="N68" s="1">
        <f t="shared" ca="1" si="15"/>
        <v>46283.658132986115</v>
      </c>
      <c r="O68" s="1">
        <f t="shared" si="16"/>
        <v>28</v>
      </c>
    </row>
    <row r="69" spans="1:15" ht="14.4">
      <c r="A69" s="1" t="s">
        <v>27</v>
      </c>
      <c r="B69" s="1" t="s">
        <v>28</v>
      </c>
      <c r="C69" s="1" t="s">
        <v>29</v>
      </c>
      <c r="D69" s="1" t="s">
        <v>35</v>
      </c>
      <c r="E69" s="1">
        <v>1229.42</v>
      </c>
      <c r="F69" s="1">
        <v>18</v>
      </c>
      <c r="G69" s="1">
        <v>0</v>
      </c>
      <c r="H69" s="1">
        <v>45477</v>
      </c>
      <c r="I69" s="1">
        <v>1650.52</v>
      </c>
      <c r="J69" s="1">
        <f t="shared" si="12"/>
        <v>22129.56</v>
      </c>
      <c r="K69" s="1" t="str">
        <f t="shared" si="13"/>
        <v>Jul-2024</v>
      </c>
      <c r="L69" s="1">
        <f t="shared" si="14"/>
        <v>159791.046</v>
      </c>
      <c r="M69" s="1" t="str">
        <f t="shared" si="17"/>
        <v>►</v>
      </c>
      <c r="N69" s="1">
        <f t="shared" ca="1" si="15"/>
        <v>46283.658132986115</v>
      </c>
      <c r="O69" s="1">
        <f t="shared" si="16"/>
        <v>5</v>
      </c>
    </row>
    <row r="70" spans="1:15" ht="14.4">
      <c r="A70" s="1" t="s">
        <v>50</v>
      </c>
      <c r="B70" s="1" t="s">
        <v>40</v>
      </c>
      <c r="C70" s="1" t="s">
        <v>29</v>
      </c>
      <c r="D70" s="1" t="s">
        <v>30</v>
      </c>
      <c r="E70" s="1">
        <v>879.47</v>
      </c>
      <c r="F70" s="1">
        <v>16</v>
      </c>
      <c r="G70" s="1">
        <v>0</v>
      </c>
      <c r="H70" s="1">
        <v>45478</v>
      </c>
      <c r="I70" s="1">
        <v>928.32</v>
      </c>
      <c r="J70" s="1">
        <f t="shared" si="12"/>
        <v>14071.52</v>
      </c>
      <c r="K70" s="1" t="str">
        <f t="shared" si="13"/>
        <v>Jul-2024</v>
      </c>
      <c r="L70" s="1">
        <f t="shared" si="14"/>
        <v>159791.046</v>
      </c>
      <c r="M70" s="1" t="str">
        <f t="shared" si="17"/>
        <v>►</v>
      </c>
      <c r="N70" s="1">
        <f t="shared" ca="1" si="15"/>
        <v>46283.658132986115</v>
      </c>
      <c r="O70" s="1">
        <f t="shared" si="16"/>
        <v>16</v>
      </c>
    </row>
    <row r="71" spans="1:15" ht="14.4">
      <c r="A71" s="1" t="s">
        <v>41</v>
      </c>
      <c r="B71" s="1" t="s">
        <v>42</v>
      </c>
      <c r="C71" s="1" t="s">
        <v>43</v>
      </c>
      <c r="D71" s="1" t="s">
        <v>22</v>
      </c>
      <c r="E71" s="1">
        <v>1051.1300000000001</v>
      </c>
      <c r="F71" s="1">
        <v>5</v>
      </c>
      <c r="G71" s="1">
        <v>0</v>
      </c>
      <c r="H71" s="1">
        <v>45480</v>
      </c>
      <c r="I71" s="1">
        <v>416.01</v>
      </c>
      <c r="J71" s="1">
        <f t="shared" si="12"/>
        <v>5255.6500000000005</v>
      </c>
      <c r="K71" s="1" t="str">
        <f t="shared" si="13"/>
        <v>Jul-2024</v>
      </c>
      <c r="L71" s="1">
        <f t="shared" si="14"/>
        <v>159791.046</v>
      </c>
      <c r="M71" s="1" t="str">
        <f t="shared" si="17"/>
        <v>►</v>
      </c>
      <c r="N71" s="1">
        <f t="shared" ca="1" si="15"/>
        <v>46283.658132986115</v>
      </c>
      <c r="O71" s="1">
        <f t="shared" si="16"/>
        <v>52</v>
      </c>
    </row>
    <row r="72" spans="1:15" ht="14.4">
      <c r="A72" s="1" t="s">
        <v>41</v>
      </c>
      <c r="B72" s="1" t="s">
        <v>42</v>
      </c>
      <c r="C72" s="1" t="s">
        <v>43</v>
      </c>
      <c r="D72" s="1" t="s">
        <v>19</v>
      </c>
      <c r="E72" s="1">
        <v>522.97</v>
      </c>
      <c r="F72" s="1">
        <v>9</v>
      </c>
      <c r="G72" s="1">
        <v>0.15</v>
      </c>
      <c r="H72" s="1">
        <v>45480</v>
      </c>
      <c r="I72" s="1">
        <v>158.51</v>
      </c>
      <c r="J72" s="1">
        <f t="shared" si="12"/>
        <v>4000.7205000000004</v>
      </c>
      <c r="K72" s="1" t="str">
        <f t="shared" si="13"/>
        <v>Jul-2024</v>
      </c>
      <c r="L72" s="1">
        <f t="shared" si="14"/>
        <v>159791.046</v>
      </c>
      <c r="M72" s="1" t="str">
        <f t="shared" si="17"/>
        <v>►</v>
      </c>
      <c r="N72" s="1">
        <f t="shared" ca="1" si="15"/>
        <v>46283.658132986115</v>
      </c>
      <c r="O72" s="1">
        <f t="shared" si="16"/>
        <v>60</v>
      </c>
    </row>
    <row r="73" spans="1:15" ht="14.4">
      <c r="A73" s="1" t="s">
        <v>39</v>
      </c>
      <c r="B73" s="1" t="s">
        <v>40</v>
      </c>
      <c r="C73" s="1" t="s">
        <v>29</v>
      </c>
      <c r="D73" s="1" t="s">
        <v>30</v>
      </c>
      <c r="E73" s="1">
        <v>1361.79</v>
      </c>
      <c r="F73" s="1">
        <v>2</v>
      </c>
      <c r="G73" s="1">
        <v>0.05</v>
      </c>
      <c r="H73" s="1">
        <v>45481</v>
      </c>
      <c r="I73" s="1">
        <v>139.26</v>
      </c>
      <c r="J73" s="1">
        <f t="shared" si="12"/>
        <v>2587.4009999999998</v>
      </c>
      <c r="K73" s="1" t="str">
        <f t="shared" si="13"/>
        <v>Jul-2024</v>
      </c>
      <c r="L73" s="1">
        <f t="shared" si="14"/>
        <v>159791.046</v>
      </c>
      <c r="M73" s="1" t="str">
        <f t="shared" si="17"/>
        <v>►</v>
      </c>
      <c r="N73" s="1">
        <f t="shared" ca="1" si="15"/>
        <v>46283.658132986115</v>
      </c>
      <c r="O73" s="1">
        <f t="shared" si="16"/>
        <v>70</v>
      </c>
    </row>
    <row r="74" spans="1:15" ht="14.4">
      <c r="A74" s="1" t="s">
        <v>58</v>
      </c>
      <c r="B74" s="1" t="s">
        <v>59</v>
      </c>
      <c r="C74" s="1" t="s">
        <v>18</v>
      </c>
      <c r="D74" s="1" t="s">
        <v>19</v>
      </c>
      <c r="E74" s="1">
        <v>1323.03</v>
      </c>
      <c r="F74" s="1">
        <v>9</v>
      </c>
      <c r="G74" s="1">
        <v>0.05</v>
      </c>
      <c r="H74" s="1">
        <v>45481</v>
      </c>
      <c r="I74" s="1">
        <v>665.59</v>
      </c>
      <c r="J74" s="1">
        <f t="shared" si="12"/>
        <v>11311.906499999999</v>
      </c>
      <c r="K74" s="1" t="str">
        <f t="shared" si="13"/>
        <v>Jul-2024</v>
      </c>
      <c r="L74" s="1">
        <f t="shared" si="14"/>
        <v>159791.046</v>
      </c>
      <c r="M74" s="1" t="str">
        <f t="shared" si="17"/>
        <v>►</v>
      </c>
      <c r="N74" s="1">
        <f t="shared" ca="1" si="15"/>
        <v>46283.658132986115</v>
      </c>
      <c r="O74" s="1">
        <f t="shared" si="16"/>
        <v>21</v>
      </c>
    </row>
    <row r="75" spans="1:15" ht="14.4">
      <c r="A75" s="1" t="s">
        <v>16</v>
      </c>
      <c r="B75" s="1" t="s">
        <v>17</v>
      </c>
      <c r="C75" s="1" t="s">
        <v>18</v>
      </c>
      <c r="D75" s="1" t="s">
        <v>22</v>
      </c>
      <c r="E75" s="1">
        <v>684.68</v>
      </c>
      <c r="F75" s="1">
        <v>8</v>
      </c>
      <c r="G75" s="1">
        <v>0.2</v>
      </c>
      <c r="H75" s="1">
        <v>45483</v>
      </c>
      <c r="I75" s="1">
        <v>210.95</v>
      </c>
      <c r="J75" s="1">
        <f t="shared" si="12"/>
        <v>4381.9520000000002</v>
      </c>
      <c r="K75" s="1" t="str">
        <f t="shared" si="13"/>
        <v>Jul-2024</v>
      </c>
      <c r="L75" s="1">
        <f t="shared" si="14"/>
        <v>159791.046</v>
      </c>
      <c r="M75" s="1" t="str">
        <f t="shared" si="17"/>
        <v>►</v>
      </c>
      <c r="N75" s="1">
        <f t="shared" ca="1" si="15"/>
        <v>46283.658132986115</v>
      </c>
      <c r="O75" s="1">
        <f t="shared" si="16"/>
        <v>58</v>
      </c>
    </row>
    <row r="76" spans="1:15" ht="14.4">
      <c r="A76" s="1" t="s">
        <v>46</v>
      </c>
      <c r="B76" s="1" t="s">
        <v>47</v>
      </c>
      <c r="C76" s="1" t="s">
        <v>18</v>
      </c>
      <c r="D76" s="1" t="s">
        <v>35</v>
      </c>
      <c r="E76" s="1">
        <v>1094.32</v>
      </c>
      <c r="F76" s="1">
        <v>16</v>
      </c>
      <c r="G76" s="1">
        <v>0.2</v>
      </c>
      <c r="H76" s="1">
        <v>45484</v>
      </c>
      <c r="I76" s="1">
        <v>1099.96</v>
      </c>
      <c r="J76" s="1">
        <f t="shared" si="12"/>
        <v>14007.296</v>
      </c>
      <c r="K76" s="1" t="str">
        <f t="shared" si="13"/>
        <v>Jul-2024</v>
      </c>
      <c r="L76" s="1">
        <f t="shared" si="14"/>
        <v>159791.046</v>
      </c>
      <c r="M76" s="1" t="str">
        <f t="shared" si="17"/>
        <v>►</v>
      </c>
      <c r="N76" s="1">
        <f t="shared" ca="1" si="15"/>
        <v>46283.658132986115</v>
      </c>
      <c r="O76" s="1">
        <f t="shared" si="16"/>
        <v>17</v>
      </c>
    </row>
    <row r="77" spans="1:15" ht="14.4">
      <c r="A77" s="1" t="s">
        <v>48</v>
      </c>
      <c r="B77" s="1" t="s">
        <v>49</v>
      </c>
      <c r="C77" s="1" t="s">
        <v>43</v>
      </c>
      <c r="D77" s="1" t="s">
        <v>26</v>
      </c>
      <c r="E77" s="1">
        <v>422.41</v>
      </c>
      <c r="F77" s="1">
        <v>4</v>
      </c>
      <c r="G77" s="1">
        <v>0</v>
      </c>
      <c r="H77" s="1">
        <v>45485</v>
      </c>
      <c r="I77" s="1">
        <v>96.58</v>
      </c>
      <c r="J77" s="1">
        <f t="shared" si="12"/>
        <v>1689.64</v>
      </c>
      <c r="K77" s="1" t="str">
        <f t="shared" si="13"/>
        <v>Jul-2024</v>
      </c>
      <c r="L77" s="1">
        <f t="shared" si="14"/>
        <v>159791.046</v>
      </c>
      <c r="M77" s="1" t="str">
        <f t="shared" si="17"/>
        <v>►</v>
      </c>
      <c r="N77" s="1">
        <f t="shared" ca="1" si="15"/>
        <v>46283.658132986115</v>
      </c>
      <c r="O77" s="1">
        <f t="shared" si="16"/>
        <v>75</v>
      </c>
    </row>
    <row r="78" spans="1:15" ht="14.4">
      <c r="A78" s="1" t="s">
        <v>46</v>
      </c>
      <c r="B78" s="1" t="s">
        <v>47</v>
      </c>
      <c r="C78" s="1" t="s">
        <v>18</v>
      </c>
      <c r="D78" s="1" t="s">
        <v>35</v>
      </c>
      <c r="E78" s="1">
        <v>878.92</v>
      </c>
      <c r="F78" s="1">
        <v>8</v>
      </c>
      <c r="G78" s="1">
        <v>0.2</v>
      </c>
      <c r="H78" s="1">
        <v>45485</v>
      </c>
      <c r="I78" s="1">
        <v>381.87</v>
      </c>
      <c r="J78" s="1">
        <f t="shared" si="12"/>
        <v>5625.0879999999997</v>
      </c>
      <c r="K78" s="1" t="str">
        <f t="shared" si="13"/>
        <v>Jul-2024</v>
      </c>
      <c r="L78" s="1">
        <f t="shared" si="14"/>
        <v>159791.046</v>
      </c>
      <c r="M78" s="1" t="str">
        <f t="shared" si="17"/>
        <v>►</v>
      </c>
      <c r="N78" s="1">
        <f t="shared" ca="1" si="15"/>
        <v>46283.658132986115</v>
      </c>
      <c r="O78" s="1">
        <f t="shared" si="16"/>
        <v>49</v>
      </c>
    </row>
    <row r="79" spans="1:15" ht="14.4">
      <c r="A79" s="1" t="s">
        <v>44</v>
      </c>
      <c r="B79" s="1" t="s">
        <v>45</v>
      </c>
      <c r="C79" s="1" t="s">
        <v>43</v>
      </c>
      <c r="D79" s="1" t="s">
        <v>19</v>
      </c>
      <c r="E79" s="1">
        <v>485.5</v>
      </c>
      <c r="F79" s="1">
        <v>15</v>
      </c>
      <c r="G79" s="1">
        <v>0.1</v>
      </c>
      <c r="H79" s="1">
        <v>45485</v>
      </c>
      <c r="I79" s="1">
        <v>478.26</v>
      </c>
      <c r="J79" s="1">
        <f t="shared" si="12"/>
        <v>6554.25</v>
      </c>
      <c r="K79" s="1" t="str">
        <f t="shared" si="13"/>
        <v>Jul-2024</v>
      </c>
      <c r="L79" s="1">
        <f t="shared" si="14"/>
        <v>159791.046</v>
      </c>
      <c r="M79" s="1" t="str">
        <f t="shared" si="17"/>
        <v>►</v>
      </c>
      <c r="N79" s="1">
        <f t="shared" ca="1" si="15"/>
        <v>46283.658132986115</v>
      </c>
      <c r="O79" s="1">
        <f t="shared" si="16"/>
        <v>44</v>
      </c>
    </row>
    <row r="80" spans="1:15" ht="14.4">
      <c r="A80" s="1" t="s">
        <v>20</v>
      </c>
      <c r="B80" s="1" t="s">
        <v>21</v>
      </c>
      <c r="C80" s="1" t="s">
        <v>18</v>
      </c>
      <c r="D80" s="1" t="s">
        <v>19</v>
      </c>
      <c r="E80" s="1">
        <v>1073.98</v>
      </c>
      <c r="F80" s="1">
        <v>19</v>
      </c>
      <c r="G80" s="1">
        <v>0</v>
      </c>
      <c r="H80" s="1">
        <v>45487</v>
      </c>
      <c r="I80" s="1">
        <v>981.19</v>
      </c>
      <c r="J80" s="1">
        <f t="shared" si="12"/>
        <v>20405.62</v>
      </c>
      <c r="K80" s="1" t="str">
        <f t="shared" si="13"/>
        <v>Jul-2024</v>
      </c>
      <c r="L80" s="1">
        <f t="shared" si="14"/>
        <v>159791.046</v>
      </c>
      <c r="M80" s="1" t="str">
        <f t="shared" si="17"/>
        <v>►</v>
      </c>
      <c r="N80" s="1">
        <f t="shared" ca="1" si="15"/>
        <v>46283.658132986115</v>
      </c>
      <c r="O80" s="1">
        <f t="shared" si="16"/>
        <v>8</v>
      </c>
    </row>
    <row r="81" spans="1:15" ht="14.4">
      <c r="A81" s="1" t="s">
        <v>51</v>
      </c>
      <c r="B81" s="1" t="s">
        <v>34</v>
      </c>
      <c r="C81" s="1" t="s">
        <v>29</v>
      </c>
      <c r="D81" s="1" t="s">
        <v>30</v>
      </c>
      <c r="E81" s="1">
        <v>1325.15</v>
      </c>
      <c r="F81" s="1">
        <v>15</v>
      </c>
      <c r="G81" s="1">
        <v>0.2</v>
      </c>
      <c r="H81" s="1">
        <v>45487</v>
      </c>
      <c r="I81" s="1">
        <v>631.51</v>
      </c>
      <c r="J81" s="1">
        <f t="shared" si="12"/>
        <v>15901.800000000001</v>
      </c>
      <c r="K81" s="1" t="str">
        <f t="shared" si="13"/>
        <v>Jul-2024</v>
      </c>
      <c r="L81" s="1">
        <f t="shared" si="14"/>
        <v>159791.046</v>
      </c>
      <c r="M81" s="1" t="str">
        <f t="shared" si="17"/>
        <v>►</v>
      </c>
      <c r="N81" s="1">
        <f t="shared" ca="1" si="15"/>
        <v>46283.658132986115</v>
      </c>
      <c r="O81" s="1">
        <f t="shared" si="16"/>
        <v>13</v>
      </c>
    </row>
    <row r="82" spans="1:15" ht="14.4">
      <c r="A82" s="1" t="s">
        <v>57</v>
      </c>
      <c r="B82" s="1" t="s">
        <v>34</v>
      </c>
      <c r="C82" s="1" t="s">
        <v>18</v>
      </c>
      <c r="D82" s="1" t="s">
        <v>30</v>
      </c>
      <c r="E82" s="1">
        <v>1291.8399999999999</v>
      </c>
      <c r="F82" s="1">
        <v>15</v>
      </c>
      <c r="G82" s="1">
        <v>0.2</v>
      </c>
      <c r="H82" s="1">
        <v>45487</v>
      </c>
      <c r="I82" s="1">
        <v>1088.93</v>
      </c>
      <c r="J82" s="1">
        <f t="shared" si="12"/>
        <v>15502.08</v>
      </c>
      <c r="K82" s="1" t="str">
        <f t="shared" si="13"/>
        <v>Jul-2024</v>
      </c>
      <c r="L82" s="1">
        <f t="shared" si="14"/>
        <v>159791.046</v>
      </c>
      <c r="M82" s="1" t="str">
        <f t="shared" si="17"/>
        <v>►</v>
      </c>
      <c r="N82" s="1">
        <f t="shared" ca="1" si="15"/>
        <v>46283.658132986115</v>
      </c>
      <c r="O82" s="1">
        <f t="shared" si="16"/>
        <v>14</v>
      </c>
    </row>
    <row r="83" spans="1:15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mergeCells count="1">
    <mergeCell ref="A1:O1"/>
  </mergeCells>
  <conditionalFormatting sqref="J3:J82">
    <cfRule type="expression" dxfId="2" priority="1">
      <formula>_xludf.RANK.EQ(J3,$J$3:$J$82,0)&lt;=10</formula>
    </cfRule>
    <cfRule type="dataBar" priority="2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{B35A829F-AE2A-E155-4DA4-7E5F95BF55DA}</x14:id>
        </ext>
      </extLst>
    </cfRule>
  </conditionalFormatting>
  <conditionalFormatting sqref="M3:M82">
    <cfRule type="expression" dxfId="1" priority="3">
      <formula>M3="▲"</formula>
    </cfRule>
    <cfRule type="expression" dxfId="0" priority="4">
      <formula>M3="▼"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5A829F-AE2A-E155-4DA4-7E5F95BF55DA}">
            <x14:dataBar>
              <x14:cfvo type="min"/>
              <x14:cfvo type="max"/>
              <x14:negativeFillColor auto="1"/>
              <x14:axisColor auto="1"/>
            </x14:dataBar>
          </x14:cfRule>
          <xm:sqref>J3:J82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0"/>
  <sheetViews>
    <sheetView topLeftCell="A10" workbookViewId="0">
      <selection activeCell="J27" sqref="J27"/>
    </sheetView>
  </sheetViews>
  <sheetFormatPr defaultRowHeight="13.8"/>
  <cols>
    <col min="2" max="2" width="13.09765625" customWidth="1"/>
    <col min="3" max="3" width="10" customWidth="1"/>
    <col min="4" max="4" width="11.59765625" customWidth="1"/>
    <col min="7" max="7" width="11.09765625" customWidth="1"/>
  </cols>
  <sheetData>
    <row r="1" spans="1:15" ht="30" customHeight="1">
      <c r="A1" s="6" t="s">
        <v>60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8">
      <c r="A3" s="4" t="s">
        <v>3</v>
      </c>
      <c r="B3" s="4" t="s">
        <v>61</v>
      </c>
      <c r="C3" s="4" t="s">
        <v>62</v>
      </c>
      <c r="D3" s="4" t="s">
        <v>63</v>
      </c>
      <c r="E3" s="1"/>
      <c r="F3" s="4" t="s">
        <v>64</v>
      </c>
      <c r="G3" s="4" t="s">
        <v>61</v>
      </c>
      <c r="H3" s="4" t="s">
        <v>62</v>
      </c>
      <c r="I3" s="4" t="s">
        <v>63</v>
      </c>
      <c r="J3" s="1"/>
      <c r="K3" s="1"/>
      <c r="L3" s="1"/>
      <c r="M3" s="1"/>
      <c r="N3" s="1"/>
      <c r="O3" s="1"/>
    </row>
    <row r="4" spans="1:15" ht="14.4">
      <c r="A4" s="1" t="s">
        <v>43</v>
      </c>
      <c r="B4" s="2">
        <f>SUMIFS(Dataset!$J$3:$J$82,Dataset!$C$3:$C$82,A4)</f>
        <v>176891.51700000002</v>
      </c>
      <c r="C4" s="2">
        <f>SUMIFS(Dataset!$I$3:$I$82,Dataset!$C$3:$C$82,A4)</f>
        <v>9575.4100000000017</v>
      </c>
      <c r="D4" s="1">
        <f>COUNTIF(Dataset!$C$3:$C$82,A4)</f>
        <v>22</v>
      </c>
      <c r="E4" s="1"/>
      <c r="F4" s="1" t="s">
        <v>19</v>
      </c>
      <c r="G4" s="2">
        <f>SUMIFS(Dataset!$J$3:$J$82,Dataset!$D$3:$D$82,F4)</f>
        <v>192139.65749999997</v>
      </c>
      <c r="H4" s="2">
        <f>SUMIFS(Dataset!$I$3:$I$82,Dataset!$D$3:$D$82,F4)</f>
        <v>11108.320000000002</v>
      </c>
      <c r="I4" s="1">
        <f>COUNTIF(Dataset!$D$3:$D$82,F4)</f>
        <v>21</v>
      </c>
      <c r="J4" s="1"/>
      <c r="K4" s="1"/>
      <c r="L4" s="1"/>
      <c r="M4" s="1"/>
      <c r="N4" s="1"/>
      <c r="O4" s="1"/>
    </row>
    <row r="5" spans="1:15" ht="14.4">
      <c r="A5" s="1" t="s">
        <v>25</v>
      </c>
      <c r="B5" s="2">
        <f>SUMIFS(Dataset!$J$3:$J$82,Dataset!$C$3:$C$82,A5)</f>
        <v>102383.1385</v>
      </c>
      <c r="C5" s="2">
        <f>SUMIFS(Dataset!$I$3:$I$82,Dataset!$C$3:$C$82,A5)</f>
        <v>5697.14</v>
      </c>
      <c r="D5" s="1">
        <f>COUNTIF(Dataset!$C$3:$C$82,A5)</f>
        <v>11</v>
      </c>
      <c r="E5" s="1"/>
      <c r="F5" s="1" t="s">
        <v>26</v>
      </c>
      <c r="G5" s="2">
        <f>SUMIFS(Dataset!$J$3:$J$82,Dataset!$D$3:$D$82,F5)</f>
        <v>64435.534500000009</v>
      </c>
      <c r="H5" s="2">
        <f>SUMIFS(Dataset!$I$3:$I$82,Dataset!$D$3:$D$82,F5)</f>
        <v>3406.79</v>
      </c>
      <c r="I5" s="1">
        <f>COUNTIF(Dataset!$D$3:$D$82,F5)</f>
        <v>11</v>
      </c>
      <c r="J5" s="1"/>
      <c r="K5" s="1"/>
      <c r="L5" s="1"/>
      <c r="M5" s="1"/>
      <c r="N5" s="1"/>
      <c r="O5" s="1"/>
    </row>
    <row r="6" spans="1:15" ht="14.4">
      <c r="A6" s="1" t="s">
        <v>38</v>
      </c>
      <c r="B6" s="2">
        <f>SUMIFS(Dataset!$J$3:$J$82,Dataset!$C$3:$C$82,A6)</f>
        <v>33770.738500000007</v>
      </c>
      <c r="C6" s="2">
        <f>SUMIFS(Dataset!$I$3:$I$82,Dataset!$C$3:$C$82,A6)</f>
        <v>2254.7599999999998</v>
      </c>
      <c r="D6" s="1">
        <f>COUNTIF(Dataset!$C$3:$C$82,A6)</f>
        <v>6</v>
      </c>
      <c r="E6" s="1"/>
      <c r="F6" s="1" t="s">
        <v>30</v>
      </c>
      <c r="G6" s="2">
        <f>SUMIFS(Dataset!$J$3:$J$82,Dataset!$D$3:$D$82,F6)</f>
        <v>115896.41200000001</v>
      </c>
      <c r="H6" s="2">
        <f>SUMIFS(Dataset!$I$3:$I$82,Dataset!$D$3:$D$82,F6)</f>
        <v>6509.420000000001</v>
      </c>
      <c r="I6" s="1">
        <f>COUNTIF(Dataset!$D$3:$D$82,F6)</f>
        <v>14</v>
      </c>
      <c r="J6" s="1"/>
      <c r="K6" s="1"/>
      <c r="L6" s="1"/>
      <c r="M6" s="1"/>
      <c r="N6" s="1"/>
      <c r="O6" s="1"/>
    </row>
    <row r="7" spans="1:15" ht="14.4">
      <c r="A7" s="1" t="s">
        <v>29</v>
      </c>
      <c r="B7" s="2">
        <f>SUMIFS(Dataset!$J$3:$J$82,Dataset!$C$3:$C$82,A7)</f>
        <v>187240.56399999998</v>
      </c>
      <c r="C7" s="2">
        <f>SUMIFS(Dataset!$I$3:$I$82,Dataset!$C$3:$C$82,A7)</f>
        <v>10569.02</v>
      </c>
      <c r="D7" s="1">
        <f>COUNTIF(Dataset!$C$3:$C$82,A7)</f>
        <v>18</v>
      </c>
      <c r="E7" s="1"/>
      <c r="F7" s="1" t="s">
        <v>22</v>
      </c>
      <c r="G7" s="2">
        <f>SUMIFS(Dataset!$J$3:$J$82,Dataset!$D$3:$D$82,F7)</f>
        <v>140645.95549999998</v>
      </c>
      <c r="H7" s="2">
        <f>SUMIFS(Dataset!$I$3:$I$82,Dataset!$D$3:$D$82,F7)</f>
        <v>8477.380000000001</v>
      </c>
      <c r="I7" s="1">
        <f>COUNTIF(Dataset!$D$3:$D$82,F7)</f>
        <v>12</v>
      </c>
      <c r="J7" s="1"/>
      <c r="K7" s="1"/>
      <c r="L7" s="1"/>
      <c r="M7" s="1"/>
      <c r="N7" s="1"/>
      <c r="O7" s="1"/>
    </row>
    <row r="8" spans="1:15" ht="14.4">
      <c r="A8" s="1" t="s">
        <v>18</v>
      </c>
      <c r="B8" s="2">
        <f>SUMIFS(Dataset!$J$3:$J$82,Dataset!$C$3:$C$82,A8)</f>
        <v>207112.10449999999</v>
      </c>
      <c r="C8" s="2">
        <f>SUMIFS(Dataset!$I$3:$I$82,Dataset!$C$3:$C$82,A8)</f>
        <v>13207.25</v>
      </c>
      <c r="D8" s="1">
        <f>COUNTIF(Dataset!$C$3:$C$82,A8)</f>
        <v>23</v>
      </c>
      <c r="E8" s="1"/>
      <c r="F8" s="1" t="s">
        <v>35</v>
      </c>
      <c r="G8" s="2">
        <f>SUMIFS(Dataset!$J$3:$J$82,Dataset!$D$3:$D$82,F8)</f>
        <v>194280.503</v>
      </c>
      <c r="H8" s="2">
        <f>SUMIFS(Dataset!$I$3:$I$82,Dataset!$D$3:$D$82,F8)</f>
        <v>11801.670000000004</v>
      </c>
      <c r="I8" s="1">
        <f>COUNTIF(Dataset!$D$3:$D$82,F8)</f>
        <v>22</v>
      </c>
      <c r="J8" s="1"/>
      <c r="K8" s="1"/>
      <c r="L8" s="1"/>
      <c r="M8" s="1"/>
      <c r="N8" s="1"/>
      <c r="O8" s="1"/>
    </row>
    <row r="9" spans="1:15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8.8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69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1">
        <f>1</f>
        <v>1</v>
      </c>
      <c r="B13" s="1" t="str">
        <f>INDEX(Dataset!$B$3:$B$82,MATCH(LARGE(Dataset!$J$3:$J$82,A13),Dataset!$J$3:$J$82,0))</f>
        <v>James Taylor</v>
      </c>
      <c r="C13" s="1" t="str">
        <f>INDEX(Dataset!$A$3:$A$82,MATCH(LARGE(Dataset!$J$3:$J$82,A13),Dataset!$J$3:$J$82,0))</f>
        <v>CUST017</v>
      </c>
      <c r="D13" s="2">
        <f>LARGE(Dataset!$J$3:$J$82,A13)</f>
        <v>25840.57</v>
      </c>
      <c r="E13" s="1" t="str">
        <f t="shared" ref="E13:E22" si="0">"INDEX + MATCH + LARGE"</f>
        <v>INDEX + MATCH + LARGE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1">
        <f>2</f>
        <v>2</v>
      </c>
      <c r="B14" s="1" t="str">
        <f>INDEX(Dataset!$B$3:$B$82,MATCH(LARGE(Dataset!$J$3:$J$82,A14),Dataset!$J$3:$J$82,0))</f>
        <v>David Brown</v>
      </c>
      <c r="C14" s="1" t="str">
        <f>INDEX(Dataset!$A$3:$A$82,MATCH(LARGE(Dataset!$J$3:$J$82,A14),Dataset!$J$3:$J$82,0))</f>
        <v>CUST022</v>
      </c>
      <c r="D14" s="2">
        <f>LARGE(Dataset!$J$3:$J$82,A14)</f>
        <v>25147.982</v>
      </c>
      <c r="E14" s="1" t="str">
        <f t="shared" si="0"/>
        <v>INDEX + MATCH + LARGE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>
      <c r="A15" s="1">
        <f>3</f>
        <v>3</v>
      </c>
      <c r="B15" s="1" t="str">
        <f>INDEX(Dataset!$B$3:$B$82,MATCH(LARGE(Dataset!$J$3:$J$82,A15),Dataset!$J$3:$J$82,0))</f>
        <v>Linda Jackson</v>
      </c>
      <c r="C15" s="1" t="str">
        <f>INDEX(Dataset!$A$3:$A$82,MATCH(LARGE(Dataset!$J$3:$J$82,A15),Dataset!$J$3:$J$82,0))</f>
        <v>CUST009</v>
      </c>
      <c r="D15" s="2">
        <f>LARGE(Dataset!$J$3:$J$82,A15)</f>
        <v>23444.100000000002</v>
      </c>
      <c r="E15" s="1" t="str">
        <f t="shared" si="0"/>
        <v>INDEX + MATCH + LARGE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>
      <c r="A16" s="1">
        <f>4</f>
        <v>4</v>
      </c>
      <c r="B16" s="1" t="str">
        <f>INDEX(Dataset!$B$3:$B$82,MATCH(LARGE(Dataset!$J$3:$J$82,A16),Dataset!$J$3:$J$82,0))</f>
        <v>Robert Anderson</v>
      </c>
      <c r="C16" s="1" t="str">
        <f>INDEX(Dataset!$A$3:$A$82,MATCH(LARGE(Dataset!$J$3:$J$82,A16),Dataset!$J$3:$J$82,0))</f>
        <v>CUST005</v>
      </c>
      <c r="D16" s="2">
        <f>LARGE(Dataset!$J$3:$J$82,A16)</f>
        <v>23259.391499999998</v>
      </c>
      <c r="E16" s="1" t="str">
        <f t="shared" si="0"/>
        <v>INDEX + MATCH + LARGE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>
      <c r="A17" s="1">
        <f>5</f>
        <v>5</v>
      </c>
      <c r="B17" s="1" t="str">
        <f>INDEX(Dataset!$B$3:$B$82,MATCH(LARGE(Dataset!$J$3:$J$82,A17),Dataset!$J$3:$J$82,0))</f>
        <v>John Brown</v>
      </c>
      <c r="C17" s="1" t="str">
        <f>INDEX(Dataset!$A$3:$A$82,MATCH(LARGE(Dataset!$J$3:$J$82,A17),Dataset!$J$3:$J$82,0))</f>
        <v>CUST008</v>
      </c>
      <c r="D17" s="2">
        <f>LARGE(Dataset!$J$3:$J$82,A17)</f>
        <v>22129.56</v>
      </c>
      <c r="E17" s="1" t="str">
        <f t="shared" si="0"/>
        <v>INDEX + MATCH + LARGE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>
      <c r="A18" s="1">
        <f>6</f>
        <v>6</v>
      </c>
      <c r="B18" s="1" t="str">
        <f>INDEX(Dataset!$B$3:$B$82,MATCH(LARGE(Dataset!$J$3:$J$82,A18),Dataset!$J$3:$J$82,0))</f>
        <v>Lisa Thomas</v>
      </c>
      <c r="C18" s="1" t="str">
        <f>INDEX(Dataset!$A$3:$A$82,MATCH(LARGE(Dataset!$J$3:$J$82,A18),Dataset!$J$3:$J$82,0))</f>
        <v>CUST001</v>
      </c>
      <c r="D18" s="2">
        <f>LARGE(Dataset!$J$3:$J$82,A18)</f>
        <v>22128.92</v>
      </c>
      <c r="E18" s="1" t="str">
        <f t="shared" si="0"/>
        <v>INDEX + MATCH + LARGE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>
      <c r="A19" s="1">
        <f>7</f>
        <v>7</v>
      </c>
      <c r="B19" s="1" t="str">
        <f>INDEX(Dataset!$B$3:$B$82,MATCH(LARGE(Dataset!$J$3:$J$82,A19),Dataset!$J$3:$J$82,0))</f>
        <v>James Taylor</v>
      </c>
      <c r="C19" s="1" t="str">
        <f>INDEX(Dataset!$A$3:$A$82,MATCH(LARGE(Dataset!$J$3:$J$82,A19),Dataset!$J$3:$J$82,0))</f>
        <v>CUST017</v>
      </c>
      <c r="D19" s="2">
        <f>LARGE(Dataset!$J$3:$J$82,A19)</f>
        <v>20644.146000000001</v>
      </c>
      <c r="E19" s="1" t="str">
        <f t="shared" si="0"/>
        <v>INDEX + MATCH + LARGE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>
      <c r="A20" s="1">
        <f>8</f>
        <v>8</v>
      </c>
      <c r="B20" s="1" t="str">
        <f>INDEX(Dataset!$B$3:$B$82,MATCH(LARGE(Dataset!$J$3:$J$82,A20),Dataset!$J$3:$J$82,0))</f>
        <v>Linda Wilson</v>
      </c>
      <c r="C20" s="1" t="str">
        <f>INDEX(Dataset!$A$3:$A$82,MATCH(LARGE(Dataset!$J$3:$J$82,A20),Dataset!$J$3:$J$82,0))</f>
        <v>CUST001</v>
      </c>
      <c r="D20" s="2">
        <f>LARGE(Dataset!$J$3:$J$82,A20)</f>
        <v>20405.62</v>
      </c>
      <c r="E20" s="1" t="str">
        <f t="shared" si="0"/>
        <v>INDEX + MATCH + LARGE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>
      <c r="A21" s="1">
        <f>9</f>
        <v>9</v>
      </c>
      <c r="B21" s="1" t="str">
        <f>INDEX(Dataset!$B$3:$B$82,MATCH(LARGE(Dataset!$J$3:$J$82,A21),Dataset!$J$3:$J$82,0))</f>
        <v>Mary Davis</v>
      </c>
      <c r="C21" s="1" t="str">
        <f>INDEX(Dataset!$A$3:$A$82,MATCH(LARGE(Dataset!$J$3:$J$82,A21),Dataset!$J$3:$J$82,0))</f>
        <v>CUST026</v>
      </c>
      <c r="D21" s="2">
        <f>LARGE(Dataset!$J$3:$J$82,A21)</f>
        <v>20001.231</v>
      </c>
      <c r="E21" s="1" t="str">
        <f t="shared" si="0"/>
        <v>INDEX + MATCH + LARGE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>
      <c r="A22" s="1">
        <f>10</f>
        <v>10</v>
      </c>
      <c r="B22" s="1" t="str">
        <f>INDEX(Dataset!$B$3:$B$82,MATCH(LARGE(Dataset!$J$3:$J$82,A22),Dataset!$J$3:$J$82,0))</f>
        <v>Mary Jackson</v>
      </c>
      <c r="C22" s="1" t="str">
        <f>INDEX(Dataset!$A$3:$A$82,MATCH(LARGE(Dataset!$J$3:$J$82,A22),Dataset!$J$3:$J$82,0))</f>
        <v>CUST006</v>
      </c>
      <c r="D22" s="2">
        <f>LARGE(Dataset!$J$3:$J$82,A22)</f>
        <v>18677.560000000001</v>
      </c>
      <c r="E22" s="1" t="str">
        <f t="shared" si="0"/>
        <v>INDEX + MATCH + LARGE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0"/>
  <sheetViews>
    <sheetView workbookViewId="0">
      <selection activeCell="B7" sqref="B7"/>
    </sheetView>
  </sheetViews>
  <sheetFormatPr defaultRowHeight="13.8"/>
  <cols>
    <col min="1" max="1" width="55.3984375" customWidth="1"/>
    <col min="2" max="2" width="12.3984375" customWidth="1"/>
    <col min="3" max="3" width="8.8984375" customWidth="1"/>
    <col min="4" max="4" width="11.59765625" customWidth="1"/>
  </cols>
  <sheetData>
    <row r="1" spans="1:15" ht="30" customHeight="1">
      <c r="A1" s="6" t="s">
        <v>70</v>
      </c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8">
      <c r="A3" s="4" t="s">
        <v>71</v>
      </c>
      <c r="B3" s="4" t="s">
        <v>5</v>
      </c>
      <c r="C3" s="4" t="s">
        <v>9</v>
      </c>
      <c r="D3" s="4" t="s">
        <v>68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4">
      <c r="A4" s="1" t="s">
        <v>72</v>
      </c>
      <c r="B4" s="5">
        <f>AVERAGE(Dataset!$E$3:$E$82)</f>
        <v>965.66849999999999</v>
      </c>
      <c r="C4" s="5">
        <f>AVERAGE(Dataset!$I$3:$I$82)</f>
        <v>516.29475000000014</v>
      </c>
      <c r="D4" s="5">
        <f>AVERAGE(Dataset!$J$3:$J$82)</f>
        <v>8842.4757812500047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4">
      <c r="A5" s="1" t="s">
        <v>73</v>
      </c>
      <c r="B5" s="5">
        <f>MEDIAN(Dataset!$E$3:$E$82)</f>
        <v>953.32500000000005</v>
      </c>
      <c r="C5" s="5">
        <f>MEDIAN(Dataset!$I$3:$I$82)</f>
        <v>385.07500000000005</v>
      </c>
      <c r="D5" s="5">
        <f>MEDIAN(Dataset!$J$3:$J$82)</f>
        <v>6774.8672500000002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4">
      <c r="A6" s="1" t="s">
        <v>74</v>
      </c>
      <c r="B6" s="5" t="e">
        <f>MODE(Dataset!E2:E81)</f>
        <v>#N/A</v>
      </c>
      <c r="C6" s="5" t="e">
        <f>MODE(Dataset!I2:I81)</f>
        <v>#N/A</v>
      </c>
      <c r="D6" s="5" t="e">
        <f>MODE(Dataset!J2:J81)</f>
        <v>#N/A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4">
      <c r="A7" s="1" t="s">
        <v>75</v>
      </c>
      <c r="B7" s="5">
        <f>STDEV(Dataset!E3:E82)</f>
        <v>360.01431068286189</v>
      </c>
      <c r="C7" s="5">
        <f>STDEV(Dataset!I3:I82)</f>
        <v>402.68441260102855</v>
      </c>
      <c r="D7" s="5">
        <f>STDEV(Dataset!J3:J82)</f>
        <v>6458.313253987375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4.4">
      <c r="A8" s="1" t="s">
        <v>76</v>
      </c>
      <c r="B8" s="5">
        <f>VAR(Dataset!E3:E82)</f>
        <v>129610.3038964562</v>
      </c>
      <c r="C8" s="5">
        <f>VAR(Dataset!I3:I82)</f>
        <v>162154.73615183539</v>
      </c>
      <c r="D8" s="5">
        <f>VAR(Dataset!J3:J82)</f>
        <v>41709810.086628996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4.4">
      <c r="A9" s="1" t="s">
        <v>77</v>
      </c>
      <c r="B9" s="5">
        <f>MIN(Dataset!$E$3:$E$82)</f>
        <v>352.11</v>
      </c>
      <c r="C9" s="5">
        <f>MIN(Dataset!$I$3:$I$82)</f>
        <v>30.06</v>
      </c>
      <c r="D9" s="5">
        <f>MIN(Dataset!$J$3:$J$82)</f>
        <v>688.048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1" t="s">
        <v>78</v>
      </c>
      <c r="B10" s="5">
        <f>MAX(Dataset!$E$3:$E$82)</f>
        <v>1593.94</v>
      </c>
      <c r="C10" s="5">
        <f>MAX(Dataset!$I$3:$I$82)</f>
        <v>1734.15</v>
      </c>
      <c r="D10" s="5">
        <f>MAX(Dataset!$J$3:$J$82)</f>
        <v>25840.57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1" t="s">
        <v>79</v>
      </c>
      <c r="B11" s="5">
        <f>MAX(Dataset!$E$3:$E$82)-MIN(Dataset!$E$3:$E$82)</f>
        <v>1241.83</v>
      </c>
      <c r="C11" s="5">
        <f>MAX(Dataset!$I$3:$I$82)-MIN(Dataset!$I$3:$I$82)</f>
        <v>1704.0900000000001</v>
      </c>
      <c r="D11" s="5">
        <f>MAX(Dataset!$J$3:$J$82)-MIN(Dataset!$J$3:$J$82)</f>
        <v>25152.522000000001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4">
      <c r="A12" s="1" t="s">
        <v>80</v>
      </c>
      <c r="B12" s="5">
        <f>COUNT(Dataset!$E$3:$E$82)</f>
        <v>80</v>
      </c>
      <c r="C12" s="5">
        <f>COUNT(Dataset!$I$3:$I$82)</f>
        <v>80</v>
      </c>
      <c r="D12" s="5">
        <f>COUNT(Dataset!$J$3:$J$82)</f>
        <v>80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1" t="s">
        <v>81</v>
      </c>
      <c r="B13" s="5">
        <f>SKEW(Dataset!$E$3:$E$82)</f>
        <v>-4.4937717663464105E-3</v>
      </c>
      <c r="C13" s="5">
        <f>SKEW(Dataset!$I$3:$I$82)</f>
        <v>1.2752389421912707</v>
      </c>
      <c r="D13" s="5">
        <f>SKEW(Dataset!$J$3:$J$82)</f>
        <v>1.0437507188652071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1" t="s">
        <v>82</v>
      </c>
      <c r="B14" s="5">
        <f>KURT(Dataset!$E$3:$E$82)</f>
        <v>-1.1175308954816134</v>
      </c>
      <c r="C14" s="5">
        <f>KURT(Dataset!$I$3:$I$82)</f>
        <v>1.2950200783649701</v>
      </c>
      <c r="D14" s="5">
        <f>KURT(Dataset!$J$3:$J$82)</f>
        <v>0.21776497606237477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0"/>
  <sheetViews>
    <sheetView workbookViewId="0">
      <selection activeCell="B5" sqref="B5"/>
    </sheetView>
  </sheetViews>
  <sheetFormatPr defaultRowHeight="13.8"/>
  <cols>
    <col min="1" max="1" width="36.59765625" customWidth="1"/>
    <col min="2" max="2" width="23.5" customWidth="1"/>
  </cols>
  <sheetData>
    <row r="1" spans="1:15" ht="30" customHeight="1">
      <c r="A1" s="6" t="s">
        <v>83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4.4">
      <c r="A3" s="4" t="s">
        <v>84</v>
      </c>
      <c r="B3" s="4" t="s">
        <v>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4">
      <c r="A4" s="1" t="s">
        <v>86</v>
      </c>
      <c r="B4" s="1">
        <f>RSQ(Dataset!$I$3:$I$82,Dataset!$E$3:$E$82)</f>
        <v>0.24107796419284172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4">
      <c r="A5" s="1" t="s">
        <v>87</v>
      </c>
      <c r="B5" s="1">
        <f>CORREL(Dataset!$I$3:$I$82,Dataset!$E$3:$E$82)</f>
        <v>0.49099690853694972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4">
      <c r="A6" s="1" t="s">
        <v>88</v>
      </c>
      <c r="B6" s="1">
        <f>SLOPE(Dataset!$I$3:$I$82,Dataset!$E$3:$E$82)</f>
        <v>0.54919150666011307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4">
      <c r="A7" s="1" t="s">
        <v>89</v>
      </c>
      <c r="B7" s="1">
        <f>INTERCEPT(Dataset!$I$3:$I$82,Dataset!$E$3:$E$82)</f>
        <v>-14.042188449211267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4.4">
      <c r="A8" s="1" t="s">
        <v>90</v>
      </c>
      <c r="B8" s="1" t="str">
        <f>"Profit = "&amp;ROUND(B6,4)&amp;" * Sales + "&amp;ROUND(B7,2)</f>
        <v>Profit = 0.5492 * Sales + -14.04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4" t="s">
        <v>5</v>
      </c>
      <c r="B11" s="4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4">
      <c r="A12" s="1">
        <f>Dataset!E3</f>
        <v>716.88</v>
      </c>
      <c r="B12" s="1">
        <f>Dataset!I3</f>
        <v>348.83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1">
        <f>Dataset!E4</f>
        <v>1478.05</v>
      </c>
      <c r="B13" s="1">
        <f>Dataset!I4</f>
        <v>733.78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1">
        <f>Dataset!E5</f>
        <v>1570.26</v>
      </c>
      <c r="B14" s="1">
        <f>Dataset!I5</f>
        <v>383.24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>
      <c r="A15" s="1">
        <f>Dataset!E6</f>
        <v>731.49</v>
      </c>
      <c r="B15" s="1">
        <f>Dataset!I6</f>
        <v>414.77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>
      <c r="A16" s="1">
        <f>Dataset!E7</f>
        <v>1360.03</v>
      </c>
      <c r="B16" s="1">
        <f>Dataset!I7</f>
        <v>1702.95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>
      <c r="A17" s="1">
        <f>Dataset!E8</f>
        <v>945.99</v>
      </c>
      <c r="B17" s="1">
        <f>Dataset!I8</f>
        <v>1328.83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>
      <c r="A18" s="1">
        <f>Dataset!E9</f>
        <v>438.74</v>
      </c>
      <c r="B18" s="1">
        <f>Dataset!I9</f>
        <v>99.07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>
      <c r="A19" s="1">
        <f>Dataset!E10</f>
        <v>407.77</v>
      </c>
      <c r="B19" s="1">
        <f>Dataset!I10</f>
        <v>308.05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>
      <c r="A20" s="1">
        <f>Dataset!E11</f>
        <v>1073.6500000000001</v>
      </c>
      <c r="B20" s="1">
        <f>Dataset!I11</f>
        <v>138.22999999999999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>
      <c r="A21" s="1">
        <f>Dataset!E12</f>
        <v>1088.1199999999999</v>
      </c>
      <c r="B21" s="1">
        <f>Dataset!I12</f>
        <v>140.65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>
      <c r="A22" s="1">
        <f>Dataset!E13</f>
        <v>619.14</v>
      </c>
      <c r="B22" s="1">
        <f>Dataset!I13</f>
        <v>383.19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>
      <c r="A23" s="1">
        <f>Dataset!E14</f>
        <v>1316.34</v>
      </c>
      <c r="B23" s="1">
        <f>Dataset!I14</f>
        <v>258.04000000000002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>
      <c r="A24" s="1">
        <f>Dataset!E15</f>
        <v>1098.68</v>
      </c>
      <c r="B24" s="1">
        <f>Dataset!I15</f>
        <v>1503.15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>
      <c r="A25" s="1">
        <f>Dataset!E16</f>
        <v>1523.66</v>
      </c>
      <c r="B25" s="1">
        <f>Dataset!I16</f>
        <v>645.11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4">
      <c r="A26" s="1">
        <f>Dataset!E17</f>
        <v>853</v>
      </c>
      <c r="B26" s="1">
        <f>Dataset!I17</f>
        <v>312.83999999999997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4">
      <c r="A27" s="1">
        <f>Dataset!E18</f>
        <v>1276.94</v>
      </c>
      <c r="B27" s="1">
        <f>Dataset!I18</f>
        <v>767.97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4">
      <c r="A28" s="1">
        <f>Dataset!E19</f>
        <v>661.5</v>
      </c>
      <c r="B28" s="1">
        <f>Dataset!I19</f>
        <v>207.36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4">
      <c r="A29" s="1">
        <f>Dataset!E20</f>
        <v>966.89</v>
      </c>
      <c r="B29" s="1">
        <f>Dataset!I20</f>
        <v>187.39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4">
      <c r="A30" s="1">
        <f>Dataset!E21</f>
        <v>706.56</v>
      </c>
      <c r="B30" s="1">
        <f>Dataset!I21</f>
        <v>474.39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4">
      <c r="A31" s="1">
        <f>Dataset!E22</f>
        <v>1143.72</v>
      </c>
      <c r="B31" s="1">
        <f>Dataset!I22</f>
        <v>1154.18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4">
      <c r="A32" s="1">
        <f>Dataset!E23</f>
        <v>354.43</v>
      </c>
      <c r="B32" s="1">
        <f>Dataset!I23</f>
        <v>135.11000000000001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4">
      <c r="A33" s="1">
        <f>Dataset!E24</f>
        <v>1352.79</v>
      </c>
      <c r="B33" s="1">
        <f>Dataset!I24</f>
        <v>800.12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4">
      <c r="A34" s="1">
        <f>Dataset!E25</f>
        <v>1040.05</v>
      </c>
      <c r="B34" s="1">
        <f>Dataset!I25</f>
        <v>742.68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4">
      <c r="A35" s="1">
        <f>Dataset!E26</f>
        <v>940.84</v>
      </c>
      <c r="B35" s="1">
        <f>Dataset!I26</f>
        <v>496.81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4">
      <c r="A36" s="1">
        <f>Dataset!E27</f>
        <v>1440.21</v>
      </c>
      <c r="B36" s="1">
        <f>Dataset!I27</f>
        <v>1734.15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4">
      <c r="A37" s="1">
        <f>Dataset!E28</f>
        <v>690.44</v>
      </c>
      <c r="B37" s="1">
        <f>Dataset!I28</f>
        <v>336.86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4">
      <c r="A38" s="1">
        <f>Dataset!E29</f>
        <v>1473.73</v>
      </c>
      <c r="B38" s="1">
        <f>Dataset!I29</f>
        <v>268.5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4">
      <c r="A39" s="1">
        <f>Dataset!E30</f>
        <v>992.7</v>
      </c>
      <c r="B39" s="1">
        <f>Dataset!I30</f>
        <v>505.94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4">
      <c r="A40" s="1">
        <f>Dataset!E31</f>
        <v>466.73</v>
      </c>
      <c r="B40" s="1">
        <f>Dataset!I31</f>
        <v>279.87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4">
      <c r="A41" s="1">
        <f>Dataset!E32</f>
        <v>624.52</v>
      </c>
      <c r="B41" s="1">
        <f>Dataset!I32</f>
        <v>560.80999999999995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4">
      <c r="A42" s="1">
        <f>Dataset!E33</f>
        <v>853.28</v>
      </c>
      <c r="B42" s="1">
        <f>Dataset!I33</f>
        <v>426.6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4">
      <c r="A43" s="1">
        <f>Dataset!E34</f>
        <v>1455.85</v>
      </c>
      <c r="B43" s="1">
        <f>Dataset!I34</f>
        <v>861.43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4">
      <c r="A44" s="1">
        <f>Dataset!E35</f>
        <v>763.94</v>
      </c>
      <c r="B44" s="1">
        <f>Dataset!I35</f>
        <v>62.61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4">
      <c r="A45" s="1">
        <f>Dataset!E36</f>
        <v>1200.3499999999999</v>
      </c>
      <c r="B45" s="1">
        <f>Dataset!I36</f>
        <v>345.85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4">
      <c r="A46" s="1">
        <f>Dataset!E37</f>
        <v>941.48</v>
      </c>
      <c r="B46" s="1">
        <f>Dataset!I37</f>
        <v>386.91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4">
      <c r="A47" s="1">
        <f>Dataset!E38</f>
        <v>844.73</v>
      </c>
      <c r="B47" s="1">
        <f>Dataset!I38</f>
        <v>635.61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4">
      <c r="A48" s="1">
        <f>Dataset!E39</f>
        <v>1241.93</v>
      </c>
      <c r="B48" s="1">
        <f>Dataset!I39</f>
        <v>486.94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4">
      <c r="A49" s="1">
        <f>Dataset!E40</f>
        <v>698.25</v>
      </c>
      <c r="B49" s="1">
        <f>Dataset!I40</f>
        <v>164.25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4">
      <c r="A50" s="1">
        <f>Dataset!E41</f>
        <v>352.11</v>
      </c>
      <c r="B50" s="1">
        <f>Dataset!I41</f>
        <v>344.97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4">
      <c r="A51" s="1">
        <f>Dataset!E42</f>
        <v>1516.57</v>
      </c>
      <c r="B51" s="1">
        <f>Dataset!I42</f>
        <v>268.43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4">
      <c r="A52" s="1">
        <f>Dataset!E43</f>
        <v>836.85</v>
      </c>
      <c r="B52" s="1">
        <f>Dataset!I43</f>
        <v>75.900000000000006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4">
      <c r="A53" s="1">
        <f>Dataset!E44</f>
        <v>678.43</v>
      </c>
      <c r="B53" s="1">
        <f>Dataset!I44</f>
        <v>412.2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4">
      <c r="A54" s="1">
        <f>Dataset!E45</f>
        <v>435.65</v>
      </c>
      <c r="B54" s="1">
        <f>Dataset!I45</f>
        <v>62.72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4">
      <c r="A55" s="1">
        <f>Dataset!E46</f>
        <v>1247.93</v>
      </c>
      <c r="B55" s="1">
        <f>Dataset!I46</f>
        <v>659.66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4">
      <c r="A56" s="1">
        <f>Dataset!E47</f>
        <v>1561.25</v>
      </c>
      <c r="B56" s="1">
        <f>Dataset!I47</f>
        <v>762.73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4">
      <c r="A57" s="1">
        <f>Dataset!E48</f>
        <v>383.17</v>
      </c>
      <c r="B57" s="1">
        <f>Dataset!I48</f>
        <v>105.89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4">
      <c r="A58" s="1">
        <f>Dataset!E49</f>
        <v>1393.24</v>
      </c>
      <c r="B58" s="1">
        <f>Dataset!I49</f>
        <v>962.83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4">
      <c r="A59" s="1">
        <f>Dataset!E50</f>
        <v>612.73</v>
      </c>
      <c r="B59" s="1">
        <f>Dataset!I50</f>
        <v>342.81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4">
      <c r="A60" s="1">
        <f>Dataset!E51</f>
        <v>907.39</v>
      </c>
      <c r="B60" s="1">
        <f>Dataset!I51</f>
        <v>244.14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4">
      <c r="A61" s="1">
        <f>Dataset!E52</f>
        <v>429.41</v>
      </c>
      <c r="B61" s="1">
        <f>Dataset!I52</f>
        <v>285.81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4">
      <c r="A62" s="1">
        <f>Dataset!E53</f>
        <v>525.23</v>
      </c>
      <c r="B62" s="1">
        <f>Dataset!I53</f>
        <v>148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4">
      <c r="A63" s="1">
        <f>Dataset!E54</f>
        <v>868.58</v>
      </c>
      <c r="B63" s="1">
        <f>Dataset!I54</f>
        <v>445.78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4">
      <c r="A64" s="1">
        <f>Dataset!E55</f>
        <v>742.39</v>
      </c>
      <c r="B64" s="1">
        <f>Dataset!I55</f>
        <v>159.88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4">
      <c r="A65" s="1">
        <f>Dataset!E56</f>
        <v>1593.94</v>
      </c>
      <c r="B65" s="1">
        <f>Dataset!I56</f>
        <v>974.73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4">
      <c r="A66" s="1">
        <f>Dataset!E57</f>
        <v>1104.6600000000001</v>
      </c>
      <c r="B66" s="1">
        <f>Dataset!I57</f>
        <v>107.46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4">
      <c r="A67" s="1">
        <f>Dataset!E58</f>
        <v>922.86</v>
      </c>
      <c r="B67" s="1">
        <f>Dataset!I58</f>
        <v>197.48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4">
      <c r="A68" s="1">
        <f>Dataset!E59</f>
        <v>598.64</v>
      </c>
      <c r="B68" s="1">
        <f>Dataset!I59</f>
        <v>604.49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4">
      <c r="A69" s="1">
        <f>Dataset!E60</f>
        <v>1307.29</v>
      </c>
      <c r="B69" s="1">
        <f>Dataset!I60</f>
        <v>268.49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4.4">
      <c r="A70" s="1">
        <f>Dataset!E61</f>
        <v>430.03</v>
      </c>
      <c r="B70" s="1">
        <f>Dataset!I61</f>
        <v>30.06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4.4">
      <c r="A71" s="1">
        <f>Dataset!E62</f>
        <v>1119.3900000000001</v>
      </c>
      <c r="B71" s="1">
        <f>Dataset!I62</f>
        <v>789.78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4.4">
      <c r="A72" s="1">
        <f>Dataset!E63</f>
        <v>1580.29</v>
      </c>
      <c r="B72" s="1">
        <f>Dataset!I63</f>
        <v>279.27999999999997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4.4">
      <c r="A73" s="1">
        <f>Dataset!E64</f>
        <v>1302.45</v>
      </c>
      <c r="B73" s="1">
        <f>Dataset!I64</f>
        <v>1108.5899999999999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4.4">
      <c r="A74" s="1">
        <f>Dataset!E65</f>
        <v>1307.27</v>
      </c>
      <c r="B74" s="1">
        <f>Dataset!I65</f>
        <v>883.47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4.4">
      <c r="A75" s="1">
        <f>Dataset!E66</f>
        <v>960.66</v>
      </c>
      <c r="B75" s="1">
        <f>Dataset!I66</f>
        <v>155.26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.4">
      <c r="A76" s="1">
        <f>Dataset!E67</f>
        <v>553.32000000000005</v>
      </c>
      <c r="B76" s="1">
        <f>Dataset!I67</f>
        <v>311.82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4.4">
      <c r="A77" s="1">
        <f>Dataset!E68</f>
        <v>1003.48</v>
      </c>
      <c r="B77" s="1">
        <f>Dataset!I68</f>
        <v>660.39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4.4">
      <c r="A78" s="1">
        <f>Dataset!E69</f>
        <v>1229.42</v>
      </c>
      <c r="B78" s="1">
        <f>Dataset!I69</f>
        <v>1650.52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4.4">
      <c r="A79" s="1">
        <f>Dataset!E70</f>
        <v>879.47</v>
      </c>
      <c r="B79" s="1">
        <f>Dataset!I70</f>
        <v>928.32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4.4">
      <c r="A80" s="1">
        <f>Dataset!E71</f>
        <v>1051.1300000000001</v>
      </c>
      <c r="B80" s="1">
        <f>Dataset!I71</f>
        <v>416.01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4.4">
      <c r="A81" s="1">
        <f>Dataset!E72</f>
        <v>522.97</v>
      </c>
      <c r="B81" s="1">
        <f>Dataset!I72</f>
        <v>158.51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4.4">
      <c r="A82" s="1">
        <f>Dataset!E73</f>
        <v>1361.79</v>
      </c>
      <c r="B82" s="1">
        <f>Dataset!I73</f>
        <v>139.26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4.4">
      <c r="A83" s="1">
        <f>Dataset!E74</f>
        <v>1323.03</v>
      </c>
      <c r="B83" s="1">
        <f>Dataset!I74</f>
        <v>665.59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4">
      <c r="A84" s="1">
        <f>Dataset!E75</f>
        <v>684.68</v>
      </c>
      <c r="B84" s="1">
        <f>Dataset!I75</f>
        <v>210.95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4">
      <c r="A85" s="1">
        <f>Dataset!E76</f>
        <v>1094.32</v>
      </c>
      <c r="B85" s="1">
        <f>Dataset!I76</f>
        <v>1099.96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4">
      <c r="A86" s="1">
        <f>Dataset!E77</f>
        <v>422.41</v>
      </c>
      <c r="B86" s="1">
        <f>Dataset!I77</f>
        <v>96.58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4">
      <c r="A87" s="1">
        <f>Dataset!E78</f>
        <v>878.92</v>
      </c>
      <c r="B87" s="1">
        <f>Dataset!I78</f>
        <v>381.87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4">
      <c r="A88" s="1">
        <f>Dataset!E79</f>
        <v>485.5</v>
      </c>
      <c r="B88" s="1">
        <f>Dataset!I79</f>
        <v>478.26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4">
      <c r="A89" s="1">
        <f>Dataset!E80</f>
        <v>1073.98</v>
      </c>
      <c r="B89" s="1">
        <f>Dataset!I80</f>
        <v>981.19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4">
      <c r="A90" s="1">
        <f>Dataset!E81</f>
        <v>1325.15</v>
      </c>
      <c r="B90" s="1">
        <f>Dataset!I81</f>
        <v>631.51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4">
      <c r="A91" s="1">
        <f>Dataset!E82</f>
        <v>1291.8399999999999</v>
      </c>
      <c r="B91" s="1">
        <f>Dataset!I82</f>
        <v>1088.93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0"/>
  <sheetViews>
    <sheetView workbookViewId="0">
      <selection activeCell="M20" sqref="M20"/>
    </sheetView>
  </sheetViews>
  <sheetFormatPr defaultRowHeight="13.8"/>
  <sheetData>
    <row r="1" spans="1:15" ht="30" customHeight="1">
      <c r="A1" s="6" t="s">
        <v>91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8">
      <c r="A3" s="4" t="s">
        <v>92</v>
      </c>
      <c r="B3" s="4" t="s">
        <v>85</v>
      </c>
      <c r="C3" s="1"/>
      <c r="D3" s="4" t="s">
        <v>93</v>
      </c>
      <c r="E3" s="4" t="s">
        <v>94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4">
      <c r="A4" s="1" t="s">
        <v>95</v>
      </c>
      <c r="B4" s="2">
        <f>AVERAGE(Dataset!$E$3:$E$82)</f>
        <v>965.66849999999999</v>
      </c>
      <c r="C4" s="1"/>
      <c r="D4" s="3">
        <v>0</v>
      </c>
      <c r="E4" s="2">
        <f t="shared" ref="E4:E10" si="0">$B$4*$B$5*(1-D4)-($B$4*$B$5*$B$6)</f>
        <v>2889.7629862499998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4">
      <c r="A5" s="1" t="s">
        <v>96</v>
      </c>
      <c r="B5" s="2">
        <f>AVERAGE(Dataset!$F$3:$F$82)</f>
        <v>9.9749999999999996</v>
      </c>
      <c r="C5" s="1"/>
      <c r="D5" s="3">
        <v>0.05</v>
      </c>
      <c r="E5" s="2">
        <f t="shared" si="0"/>
        <v>2408.1358218749992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4">
      <c r="A6" s="1" t="s">
        <v>97</v>
      </c>
      <c r="B6" s="3">
        <v>0.7</v>
      </c>
      <c r="C6" s="1"/>
      <c r="D6" s="3">
        <v>0.1</v>
      </c>
      <c r="E6" s="2">
        <f t="shared" si="0"/>
        <v>1926.5086575000005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4">
      <c r="A7" s="1" t="s">
        <v>93</v>
      </c>
      <c r="B7" s="3">
        <v>0.1</v>
      </c>
      <c r="C7" s="1"/>
      <c r="D7" s="3">
        <v>0.15</v>
      </c>
      <c r="E7" s="2">
        <f t="shared" si="0"/>
        <v>1444.8814931249999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4.4">
      <c r="A8" s="1" t="s">
        <v>94</v>
      </c>
      <c r="B8" s="2">
        <f>B4*B5*(1-B7)-(B4*B5*B6)</f>
        <v>1926.5086575000005</v>
      </c>
      <c r="C8" s="1"/>
      <c r="D8" s="3">
        <v>0.2</v>
      </c>
      <c r="E8" s="2">
        <f t="shared" si="0"/>
        <v>963.25432875000024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4.4">
      <c r="A9" s="1"/>
      <c r="B9" s="1"/>
      <c r="C9" s="1"/>
      <c r="D9" s="3">
        <v>0.25</v>
      </c>
      <c r="E9" s="2">
        <f t="shared" si="0"/>
        <v>481.62716437500058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1"/>
      <c r="B10" s="1"/>
      <c r="C10" s="1"/>
      <c r="D10" s="3">
        <v>0.3</v>
      </c>
      <c r="E10" s="2">
        <f t="shared" si="0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mergeCells count="1">
    <mergeCell ref="A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0"/>
  <sheetViews>
    <sheetView tabSelected="1" workbookViewId="0">
      <selection activeCell="P9" sqref="P9"/>
    </sheetView>
  </sheetViews>
  <sheetFormatPr defaultRowHeight="13.8"/>
  <cols>
    <col min="4" max="4" width="6.5" customWidth="1"/>
    <col min="5" max="5" width="10.19921875" customWidth="1"/>
    <col min="6" max="6" width="8.8984375" customWidth="1"/>
    <col min="7" max="7" width="5.69921875" customWidth="1"/>
    <col min="9" max="9" width="13.59765625" customWidth="1"/>
    <col min="10" max="10" width="10.19921875" customWidth="1"/>
    <col min="11" max="11" width="8.8984375" customWidth="1"/>
    <col min="12" max="12" width="5.69921875" customWidth="1"/>
  </cols>
  <sheetData>
    <row r="1" spans="1:15" ht="30" customHeight="1">
      <c r="A1" s="6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  <c r="N1" s="1"/>
      <c r="O1" s="1"/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8">
      <c r="A3" s="4" t="s">
        <v>99</v>
      </c>
      <c r="B3" s="4" t="s">
        <v>85</v>
      </c>
      <c r="C3" s="1"/>
      <c r="D3" s="4" t="s">
        <v>3</v>
      </c>
      <c r="E3" s="4" t="s">
        <v>61</v>
      </c>
      <c r="F3" s="4" t="s">
        <v>62</v>
      </c>
      <c r="G3" s="4" t="s">
        <v>63</v>
      </c>
      <c r="H3" s="1"/>
      <c r="I3" s="4" t="s">
        <v>64</v>
      </c>
      <c r="J3" s="4" t="s">
        <v>61</v>
      </c>
      <c r="K3" s="4" t="s">
        <v>62</v>
      </c>
      <c r="L3" s="4" t="s">
        <v>63</v>
      </c>
      <c r="M3" s="1"/>
      <c r="N3" s="1"/>
      <c r="O3" s="1"/>
    </row>
    <row r="4" spans="1:15" ht="14.4">
      <c r="A4" s="1" t="s">
        <v>61</v>
      </c>
      <c r="B4" s="2">
        <f>SUM(Dataset!$J$3:$J$82)</f>
        <v>707398.06250000035</v>
      </c>
      <c r="C4" s="1"/>
      <c r="D4" s="1" t="s">
        <v>43</v>
      </c>
      <c r="E4" s="2">
        <f>SUMIFS(Dataset!$J$3:$J$82,Dataset!$C$3:$C$82,D4)</f>
        <v>176891.51700000002</v>
      </c>
      <c r="F4" s="2">
        <f>SUMIFS(Dataset!$I$3:$I$82,Dataset!$C$3:$C$82,D4)</f>
        <v>9575.4100000000017</v>
      </c>
      <c r="G4" s="1">
        <f>COUNTIF(Dataset!$C$3:$C$82,D4)</f>
        <v>22</v>
      </c>
      <c r="H4" s="1"/>
      <c r="I4" s="1" t="s">
        <v>19</v>
      </c>
      <c r="J4" s="2">
        <f>SUMIFS(Dataset!$J$3:$J$82,Dataset!$D$3:$D$82,I4)</f>
        <v>192139.65749999997</v>
      </c>
      <c r="K4" s="2">
        <f>SUMIFS(Dataset!$I$3:$I$82,Dataset!$D$3:$D$82,I4)</f>
        <v>11108.320000000002</v>
      </c>
      <c r="L4" s="1">
        <f>COUNTIF(Dataset!$D$3:$D$82,I4)</f>
        <v>21</v>
      </c>
      <c r="M4" s="1"/>
      <c r="N4" s="1"/>
      <c r="O4" s="1"/>
    </row>
    <row r="5" spans="1:15" ht="14.4">
      <c r="A5" s="1" t="s">
        <v>62</v>
      </c>
      <c r="B5" s="2">
        <f>SUM(Dataset!$I$3:$I$82)</f>
        <v>41303.580000000009</v>
      </c>
      <c r="C5" s="1"/>
      <c r="D5" s="1" t="s">
        <v>25</v>
      </c>
      <c r="E5" s="2">
        <f>SUMIFS(Dataset!$J$3:$J$82,Dataset!$C$3:$C$82,D5)</f>
        <v>102383.1385</v>
      </c>
      <c r="F5" s="2">
        <f>SUMIFS(Dataset!$I$3:$I$82,Dataset!$C$3:$C$82,D5)</f>
        <v>5697.14</v>
      </c>
      <c r="G5" s="1">
        <f>COUNTIF(Dataset!$C$3:$C$82,D5)</f>
        <v>11</v>
      </c>
      <c r="H5" s="1"/>
      <c r="I5" s="1" t="s">
        <v>26</v>
      </c>
      <c r="J5" s="2">
        <f>SUMIFS(Dataset!$J$3:$J$82,Dataset!$D$3:$D$82,I5)</f>
        <v>64435.534500000009</v>
      </c>
      <c r="K5" s="2">
        <f>SUMIFS(Dataset!$I$3:$I$82,Dataset!$D$3:$D$82,I5)</f>
        <v>3406.79</v>
      </c>
      <c r="L5" s="1">
        <f>COUNTIF(Dataset!$D$3:$D$82,I5)</f>
        <v>11</v>
      </c>
      <c r="M5" s="1"/>
      <c r="N5" s="1"/>
      <c r="O5" s="1"/>
    </row>
    <row r="6" spans="1:15" ht="14.4">
      <c r="A6" s="1" t="s">
        <v>100</v>
      </c>
      <c r="B6" s="1">
        <f>COUNTA(Dataset!$A$3:$A$82)</f>
        <v>80</v>
      </c>
      <c r="C6" s="1"/>
      <c r="D6" s="1" t="s">
        <v>38</v>
      </c>
      <c r="E6" s="2">
        <f>SUMIFS(Dataset!$J$3:$J$82,Dataset!$C$3:$C$82,D6)</f>
        <v>33770.738500000007</v>
      </c>
      <c r="F6" s="2">
        <f>SUMIFS(Dataset!$I$3:$I$82,Dataset!$C$3:$C$82,D6)</f>
        <v>2254.7599999999998</v>
      </c>
      <c r="G6" s="1">
        <f>COUNTIF(Dataset!$C$3:$C$82,D6)</f>
        <v>6</v>
      </c>
      <c r="H6" s="1"/>
      <c r="I6" s="1" t="s">
        <v>30</v>
      </c>
      <c r="J6" s="2">
        <f>SUMIFS(Dataset!$J$3:$J$82,Dataset!$D$3:$D$82,I6)</f>
        <v>115896.41200000001</v>
      </c>
      <c r="K6" s="2">
        <f>SUMIFS(Dataset!$I$3:$I$82,Dataset!$D$3:$D$82,I6)</f>
        <v>6509.420000000001</v>
      </c>
      <c r="L6" s="1">
        <f>COUNTIF(Dataset!$D$3:$D$82,I6)</f>
        <v>14</v>
      </c>
      <c r="M6" s="1"/>
      <c r="N6" s="1"/>
      <c r="O6" s="1"/>
    </row>
    <row r="7" spans="1:15" ht="14.4">
      <c r="A7" s="1" t="s">
        <v>101</v>
      </c>
      <c r="B7" s="1" t="str">
        <f>INDEX(Analysis!$A$4:$A$8,MATCH(MAX(Analysis!$B$4:$B$8),Analysis!$B$4:$B$8,0))</f>
        <v>West</v>
      </c>
      <c r="C7" s="1"/>
      <c r="D7" s="1" t="s">
        <v>29</v>
      </c>
      <c r="E7" s="2">
        <f>SUMIFS(Dataset!$J$3:$J$82,Dataset!$C$3:$C$82,D7)</f>
        <v>187240.56399999998</v>
      </c>
      <c r="F7" s="2">
        <f>SUMIFS(Dataset!$I$3:$I$82,Dataset!$C$3:$C$82,D7)</f>
        <v>10569.02</v>
      </c>
      <c r="G7" s="1">
        <f>COUNTIF(Dataset!$C$3:$C$82,D7)</f>
        <v>18</v>
      </c>
      <c r="H7" s="1"/>
      <c r="I7" s="1" t="s">
        <v>22</v>
      </c>
      <c r="J7" s="2">
        <f>SUMIFS(Dataset!$J$3:$J$82,Dataset!$D$3:$D$82,I7)</f>
        <v>140645.95549999998</v>
      </c>
      <c r="K7" s="2">
        <f>SUMIFS(Dataset!$I$3:$I$82,Dataset!$D$3:$D$82,I7)</f>
        <v>8477.380000000001</v>
      </c>
      <c r="L7" s="1">
        <f>COUNTIF(Dataset!$D$3:$D$82,I7)</f>
        <v>12</v>
      </c>
      <c r="M7" s="1"/>
      <c r="N7" s="1"/>
      <c r="O7" s="1"/>
    </row>
    <row r="8" spans="1:15" ht="14.4">
      <c r="A8" s="1" t="s">
        <v>102</v>
      </c>
      <c r="B8" s="1" t="str">
        <f>Analysis!B13</f>
        <v>James Taylor</v>
      </c>
      <c r="C8" s="1"/>
      <c r="D8" s="1" t="s">
        <v>18</v>
      </c>
      <c r="E8" s="2">
        <f>SUMIFS(Dataset!$J$3:$J$82,Dataset!$C$3:$C$82,D8)</f>
        <v>207112.10449999999</v>
      </c>
      <c r="F8" s="2">
        <f>SUMIFS(Dataset!$I$3:$I$82,Dataset!$C$3:$C$82,D8)</f>
        <v>13207.25</v>
      </c>
      <c r="G8" s="1">
        <f>COUNTIF(Dataset!$C$3:$C$82,D8)</f>
        <v>23</v>
      </c>
      <c r="H8" s="1"/>
      <c r="I8" s="1" t="s">
        <v>35</v>
      </c>
      <c r="J8" s="2">
        <f>SUMIFS(Dataset!$J$3:$J$82,Dataset!$D$3:$D$82,I8)</f>
        <v>194280.503</v>
      </c>
      <c r="K8" s="2">
        <f>SUMIFS(Dataset!$I$3:$I$82,Dataset!$D$3:$D$82,I8)</f>
        <v>11801.670000000004</v>
      </c>
      <c r="L8" s="1">
        <f>COUNTIF(Dataset!$D$3:$D$82,I8)</f>
        <v>22</v>
      </c>
      <c r="M8" s="1"/>
      <c r="N8" s="1"/>
      <c r="O8" s="1"/>
    </row>
    <row r="9" spans="1:15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Analysis</vt:lpstr>
      <vt:lpstr>Descriptive Stats</vt:lpstr>
      <vt:lpstr>Regression</vt:lpstr>
      <vt:lpstr>What-If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bharagv prajapati</cp:lastModifiedBy>
  <dcterms:modified xsi:type="dcterms:W3CDTF">2026-09-18T10:22:24Z</dcterms:modified>
</cp:coreProperties>
</file>